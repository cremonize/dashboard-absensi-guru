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F6A0781-1936-4D17-A936-5832D2E8E5BA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CONFIG" sheetId="1" r:id="rId1"/>
    <sheet name="DATA_GURU" sheetId="2" r:id="rId2"/>
    <sheet name="DATA_JAM_PELAJARAN" sheetId="3" r:id="rId3"/>
    <sheet name="ABSENSI" sheetId="4" r:id="rId4"/>
    <sheet name="REKAP_BULANAN" sheetId="5" r:id="rId5"/>
    <sheet name="DASHBOARD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5" l="1"/>
  <c r="O7" i="5"/>
  <c r="F29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B2" i="6"/>
  <c r="N26" i="5"/>
  <c r="M26" i="5"/>
  <c r="L26" i="5"/>
  <c r="K26" i="5"/>
  <c r="H25" i="6" s="1"/>
  <c r="N25" i="5"/>
  <c r="M25" i="5"/>
  <c r="L25" i="5"/>
  <c r="K25" i="5"/>
  <c r="H24" i="6" s="1"/>
  <c r="N24" i="5"/>
  <c r="M24" i="5"/>
  <c r="L24" i="5"/>
  <c r="K24" i="5"/>
  <c r="H23" i="6" s="1"/>
  <c r="N23" i="5"/>
  <c r="M23" i="5"/>
  <c r="L23" i="5"/>
  <c r="K23" i="5"/>
  <c r="H22" i="6" s="1"/>
  <c r="N22" i="5"/>
  <c r="M22" i="5"/>
  <c r="L22" i="5"/>
  <c r="K22" i="5"/>
  <c r="H21" i="6" s="1"/>
  <c r="N21" i="5"/>
  <c r="M21" i="5"/>
  <c r="L21" i="5"/>
  <c r="K21" i="5"/>
  <c r="H20" i="6" s="1"/>
  <c r="N20" i="5"/>
  <c r="M20" i="5"/>
  <c r="L20" i="5"/>
  <c r="K20" i="5"/>
  <c r="H19" i="6" s="1"/>
  <c r="N19" i="5"/>
  <c r="M19" i="5"/>
  <c r="L19" i="5"/>
  <c r="K19" i="5"/>
  <c r="H18" i="6" s="1"/>
  <c r="N18" i="5"/>
  <c r="M18" i="5"/>
  <c r="L18" i="5"/>
  <c r="K18" i="5"/>
  <c r="H17" i="6" s="1"/>
  <c r="N17" i="5"/>
  <c r="M17" i="5"/>
  <c r="L17" i="5"/>
  <c r="K17" i="5"/>
  <c r="H16" i="6" s="1"/>
  <c r="N16" i="5"/>
  <c r="M16" i="5"/>
  <c r="L16" i="5"/>
  <c r="K16" i="5"/>
  <c r="H15" i="6" s="1"/>
  <c r="N15" i="5"/>
  <c r="M15" i="5"/>
  <c r="L15" i="5"/>
  <c r="K15" i="5"/>
  <c r="H14" i="6" s="1"/>
  <c r="N14" i="5"/>
  <c r="M14" i="5"/>
  <c r="L14" i="5"/>
  <c r="K14" i="5"/>
  <c r="H13" i="6" s="1"/>
  <c r="N13" i="5"/>
  <c r="M13" i="5"/>
  <c r="L13" i="5"/>
  <c r="K13" i="5"/>
  <c r="H12" i="6" s="1"/>
  <c r="N12" i="5"/>
  <c r="M12" i="5"/>
  <c r="L12" i="5"/>
  <c r="K12" i="5"/>
  <c r="H11" i="6" s="1"/>
  <c r="N11" i="5"/>
  <c r="M11" i="5"/>
  <c r="L11" i="5"/>
  <c r="K11" i="5"/>
  <c r="H10" i="6" s="1"/>
  <c r="N10" i="5"/>
  <c r="M10" i="5"/>
  <c r="L10" i="5"/>
  <c r="K10" i="5"/>
  <c r="H9" i="6" s="1"/>
  <c r="N9" i="5"/>
  <c r="M9" i="5"/>
  <c r="L9" i="5"/>
  <c r="K9" i="5"/>
  <c r="H8" i="6" s="1"/>
  <c r="N8" i="5"/>
  <c r="M8" i="5"/>
  <c r="L8" i="5"/>
  <c r="K8" i="5"/>
  <c r="H7" i="6" s="1"/>
  <c r="N7" i="5"/>
  <c r="N27" i="5" s="1"/>
  <c r="M7" i="5"/>
  <c r="M27" i="5" s="1"/>
  <c r="L7" i="5"/>
  <c r="L27" i="5" s="1"/>
  <c r="K7" i="5"/>
  <c r="B2" i="5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E2" i="4"/>
  <c r="F2" i="4" s="1"/>
  <c r="F3" i="4" s="1"/>
  <c r="D2" i="4"/>
  <c r="D3" i="4" s="1"/>
  <c r="B1" i="4"/>
  <c r="J24" i="3"/>
  <c r="I24" i="3"/>
  <c r="H24" i="3"/>
  <c r="G24" i="3"/>
  <c r="F24" i="3"/>
  <c r="E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24" i="3" s="1"/>
  <c r="G2" i="4" l="1"/>
  <c r="E3" i="4"/>
  <c r="H6" i="6"/>
  <c r="K27" i="5"/>
  <c r="G3" i="4" l="1"/>
  <c r="H2" i="4"/>
  <c r="I2" i="4" l="1"/>
  <c r="H3" i="4"/>
  <c r="J2" i="4" l="1"/>
  <c r="I3" i="4"/>
  <c r="J3" i="4" l="1"/>
  <c r="K2" i="4"/>
  <c r="K3" i="4" l="1"/>
  <c r="L2" i="4"/>
  <c r="L3" i="4" l="1"/>
  <c r="M2" i="4"/>
  <c r="N2" i="4" l="1"/>
  <c r="M3" i="4"/>
  <c r="N3" i="4" l="1"/>
  <c r="O2" i="4"/>
  <c r="O3" i="4" l="1"/>
  <c r="P2" i="4"/>
  <c r="P3" i="4" l="1"/>
  <c r="Q2" i="4"/>
  <c r="R2" i="4" l="1"/>
  <c r="Q3" i="4"/>
  <c r="R3" i="4" l="1"/>
  <c r="S2" i="4"/>
  <c r="T2" i="4" l="1"/>
  <c r="S3" i="4"/>
  <c r="U2" i="4" l="1"/>
  <c r="T3" i="4"/>
  <c r="V2" i="4" l="1"/>
  <c r="U3" i="4"/>
  <c r="V3" i="4" l="1"/>
  <c r="W2" i="4"/>
  <c r="W3" i="4" l="1"/>
  <c r="X2" i="4"/>
  <c r="Y2" i="4" l="1"/>
  <c r="X3" i="4"/>
  <c r="Z2" i="4" l="1"/>
  <c r="Y3" i="4"/>
  <c r="Z3" i="4" l="1"/>
  <c r="AA2" i="4"/>
  <c r="AA3" i="4" l="1"/>
  <c r="AB2" i="4"/>
  <c r="AB3" i="4" l="1"/>
  <c r="AC2" i="4"/>
  <c r="AD2" i="4" l="1"/>
  <c r="AC3" i="4"/>
  <c r="AD3" i="4" l="1"/>
  <c r="AE2" i="4"/>
  <c r="AF2" i="4" l="1"/>
  <c r="AE3" i="4"/>
  <c r="AF3" i="4" l="1"/>
  <c r="AG2" i="4"/>
  <c r="AH2" i="4" l="1"/>
  <c r="AG3" i="4"/>
  <c r="AH3" i="4" l="1"/>
  <c r="AI2" i="4"/>
  <c r="AJ2" i="4" l="1"/>
  <c r="AI3" i="4"/>
  <c r="AJ3" i="4" l="1"/>
  <c r="AK2" i="4"/>
  <c r="AL2" i="4" l="1"/>
  <c r="AK3" i="4"/>
  <c r="AL3" i="4" l="1"/>
  <c r="AM2" i="4"/>
  <c r="AM3" i="4" l="1"/>
  <c r="AN2" i="4"/>
  <c r="AO2" i="4" l="1"/>
  <c r="AN3" i="4"/>
  <c r="AP2" i="4" l="1"/>
  <c r="AO3" i="4"/>
  <c r="AP3" i="4" l="1"/>
  <c r="H20" i="5" s="1"/>
  <c r="AQ2" i="4"/>
  <c r="AQ3" i="4" s="1"/>
  <c r="G11" i="5" s="1"/>
  <c r="H26" i="5"/>
  <c r="G25" i="5"/>
  <c r="G24" i="5"/>
  <c r="I9" i="5"/>
  <c r="F17" i="5"/>
  <c r="I15" i="5"/>
  <c r="H9" i="5"/>
  <c r="F22" i="5"/>
  <c r="I23" i="5"/>
  <c r="E14" i="5"/>
  <c r="E13" i="6" s="1"/>
  <c r="P19" i="5"/>
  <c r="I18" i="6" s="1"/>
  <c r="H18" i="5"/>
  <c r="F14" i="5"/>
  <c r="G26" i="5"/>
  <c r="I13" i="5"/>
  <c r="F21" i="5"/>
  <c r="P17" i="5"/>
  <c r="I16" i="6" s="1"/>
  <c r="G9" i="5"/>
  <c r="J9" i="5" s="1"/>
  <c r="G8" i="6" s="1"/>
  <c r="F8" i="5"/>
  <c r="E17" i="5"/>
  <c r="E16" i="6" s="1"/>
  <c r="E16" i="5"/>
  <c r="E15" i="6" s="1"/>
  <c r="P8" i="5"/>
  <c r="I7" i="6" s="1"/>
  <c r="E26" i="5"/>
  <c r="E25" i="6" s="1"/>
  <c r="P13" i="5"/>
  <c r="I12" i="6" s="1"/>
  <c r="P14" i="5"/>
  <c r="I13" i="6" s="1"/>
  <c r="I16" i="5"/>
  <c r="E8" i="5"/>
  <c r="E7" i="6" s="1"/>
  <c r="H10" i="5"/>
  <c r="E18" i="5"/>
  <c r="E17" i="6" s="1"/>
  <c r="G23" i="5"/>
  <c r="P9" i="5"/>
  <c r="I8" i="6" s="1"/>
  <c r="P25" i="5"/>
  <c r="I24" i="6" s="1"/>
  <c r="E24" i="5"/>
  <c r="E23" i="6" s="1"/>
  <c r="F26" i="5"/>
  <c r="G7" i="5"/>
  <c r="F12" i="5"/>
  <c r="E11" i="5"/>
  <c r="E10" i="6" s="1"/>
  <c r="G8" i="5"/>
  <c r="H19" i="5"/>
  <c r="F19" i="5"/>
  <c r="H8" i="5"/>
  <c r="G16" i="5"/>
  <c r="H23" i="5"/>
  <c r="P23" i="5"/>
  <c r="I22" i="6" s="1"/>
  <c r="F25" i="5"/>
  <c r="P22" i="5"/>
  <c r="I21" i="6" s="1"/>
  <c r="H17" i="5"/>
  <c r="G19" i="5"/>
  <c r="I25" i="5"/>
  <c r="H13" i="5"/>
  <c r="P18" i="5"/>
  <c r="I17" i="6" s="1"/>
  <c r="P10" i="5"/>
  <c r="I9" i="6" s="1"/>
  <c r="E21" i="5"/>
  <c r="E20" i="6" s="1"/>
  <c r="F16" i="5"/>
  <c r="F20" i="5"/>
  <c r="F19" i="6" l="1"/>
  <c r="F7" i="6"/>
  <c r="O8" i="5"/>
  <c r="J7" i="6" s="1"/>
  <c r="I20" i="5"/>
  <c r="G21" i="5"/>
  <c r="I24" i="5"/>
  <c r="I19" i="5"/>
  <c r="I11" i="5"/>
  <c r="H21" i="5"/>
  <c r="H24" i="5"/>
  <c r="J24" i="5" s="1"/>
  <c r="G23" i="6" s="1"/>
  <c r="I18" i="5"/>
  <c r="P7" i="5"/>
  <c r="H7" i="5"/>
  <c r="F10" i="5"/>
  <c r="F9" i="5"/>
  <c r="I26" i="5"/>
  <c r="E7" i="5"/>
  <c r="F15" i="6"/>
  <c r="O16" i="5"/>
  <c r="J15" i="6" s="1"/>
  <c r="F25" i="6"/>
  <c r="O26" i="5"/>
  <c r="J25" i="6" s="1"/>
  <c r="J23" i="5"/>
  <c r="G22" i="6" s="1"/>
  <c r="J26" i="5"/>
  <c r="G25" i="6" s="1"/>
  <c r="F15" i="5"/>
  <c r="E22" i="5"/>
  <c r="E21" i="6" s="1"/>
  <c r="E23" i="5"/>
  <c r="E22" i="6" s="1"/>
  <c r="E10" i="5"/>
  <c r="E9" i="6" s="1"/>
  <c r="P16" i="5"/>
  <c r="I15" i="6" s="1"/>
  <c r="G17" i="5"/>
  <c r="G15" i="5"/>
  <c r="F13" i="5"/>
  <c r="F23" i="5"/>
  <c r="E12" i="5"/>
  <c r="E11" i="6" s="1"/>
  <c r="I22" i="5"/>
  <c r="H22" i="5"/>
  <c r="G13" i="5"/>
  <c r="J13" i="5" s="1"/>
  <c r="G12" i="6" s="1"/>
  <c r="P11" i="5"/>
  <c r="I10" i="6" s="1"/>
  <c r="G14" i="5"/>
  <c r="G10" i="5"/>
  <c r="G27" i="5" s="1"/>
  <c r="P20" i="5"/>
  <c r="I19" i="6" s="1"/>
  <c r="E20" i="5"/>
  <c r="E19" i="6" s="1"/>
  <c r="F24" i="6"/>
  <c r="F13" i="6"/>
  <c r="O14" i="5"/>
  <c r="J13" i="6" s="1"/>
  <c r="F16" i="6"/>
  <c r="O17" i="5"/>
  <c r="J16" i="6" s="1"/>
  <c r="H11" i="5"/>
  <c r="J11" i="5" s="1"/>
  <c r="G10" i="6" s="1"/>
  <c r="G18" i="5"/>
  <c r="J18" i="5" s="1"/>
  <c r="G17" i="6" s="1"/>
  <c r="G22" i="5"/>
  <c r="J22" i="5" s="1"/>
  <c r="G21" i="6" s="1"/>
  <c r="I8" i="5"/>
  <c r="J8" i="5" s="1"/>
  <c r="G7" i="6" s="1"/>
  <c r="E19" i="5"/>
  <c r="E18" i="6" s="1"/>
  <c r="I14" i="5"/>
  <c r="I12" i="5"/>
  <c r="I21" i="5"/>
  <c r="F18" i="5"/>
  <c r="I10" i="5"/>
  <c r="F11" i="5"/>
  <c r="I7" i="5"/>
  <c r="P24" i="5"/>
  <c r="I23" i="6" s="1"/>
  <c r="P12" i="5"/>
  <c r="I11" i="6" s="1"/>
  <c r="P21" i="5"/>
  <c r="I20" i="6" s="1"/>
  <c r="J19" i="5"/>
  <c r="G18" i="6" s="1"/>
  <c r="F18" i="6"/>
  <c r="O19" i="5"/>
  <c r="J18" i="6" s="1"/>
  <c r="F11" i="6"/>
  <c r="O12" i="5"/>
  <c r="J11" i="6" s="1"/>
  <c r="F20" i="6"/>
  <c r="O21" i="5"/>
  <c r="J20" i="6" s="1"/>
  <c r="F21" i="6"/>
  <c r="O22" i="5"/>
  <c r="J21" i="6" s="1"/>
  <c r="E15" i="5"/>
  <c r="E14" i="6" s="1"/>
  <c r="H16" i="5"/>
  <c r="J16" i="5" s="1"/>
  <c r="G15" i="6" s="1"/>
  <c r="G20" i="5"/>
  <c r="J20" i="5" s="1"/>
  <c r="G19" i="6" s="1"/>
  <c r="H15" i="5"/>
  <c r="H12" i="5"/>
  <c r="P15" i="5"/>
  <c r="I14" i="6" s="1"/>
  <c r="H14" i="5"/>
  <c r="H25" i="5"/>
  <c r="J25" i="5" s="1"/>
  <c r="G24" i="6" s="1"/>
  <c r="F24" i="5"/>
  <c r="E13" i="5"/>
  <c r="E12" i="6" s="1"/>
  <c r="P26" i="5"/>
  <c r="I25" i="6" s="1"/>
  <c r="E25" i="5"/>
  <c r="E24" i="6" s="1"/>
  <c r="E9" i="5"/>
  <c r="E8" i="6" s="1"/>
  <c r="I17" i="5"/>
  <c r="G12" i="5"/>
  <c r="J12" i="5" s="1"/>
  <c r="G11" i="6" s="1"/>
  <c r="F7" i="5"/>
  <c r="F23" i="6" l="1"/>
  <c r="O24" i="5"/>
  <c r="J23" i="6" s="1"/>
  <c r="F17" i="6"/>
  <c r="O18" i="5"/>
  <c r="J17" i="6" s="1"/>
  <c r="J17" i="5"/>
  <c r="G16" i="6" s="1"/>
  <c r="F8" i="6"/>
  <c r="J8" i="6"/>
  <c r="F6" i="6"/>
  <c r="F31" i="6"/>
  <c r="F33" i="6"/>
  <c r="F27" i="5"/>
  <c r="J6" i="6"/>
  <c r="I27" i="5"/>
  <c r="F22" i="6"/>
  <c r="O23" i="5"/>
  <c r="J22" i="6" s="1"/>
  <c r="F14" i="6"/>
  <c r="O15" i="5"/>
  <c r="J14" i="6" s="1"/>
  <c r="F9" i="6"/>
  <c r="O10" i="5"/>
  <c r="J9" i="6" s="1"/>
  <c r="O20" i="5"/>
  <c r="J19" i="6" s="1"/>
  <c r="F10" i="6"/>
  <c r="O11" i="5"/>
  <c r="J10" i="6" s="1"/>
  <c r="O25" i="5"/>
  <c r="J24" i="6" s="1"/>
  <c r="J10" i="5"/>
  <c r="G9" i="6" s="1"/>
  <c r="F12" i="6"/>
  <c r="O13" i="5"/>
  <c r="J12" i="6" s="1"/>
  <c r="E27" i="5"/>
  <c r="E6" i="6"/>
  <c r="F30" i="6"/>
  <c r="H27" i="5"/>
  <c r="J21" i="5"/>
  <c r="G20" i="6" s="1"/>
  <c r="J14" i="5"/>
  <c r="G13" i="6" s="1"/>
  <c r="J15" i="5"/>
  <c r="G14" i="6" s="1"/>
  <c r="I6" i="6"/>
  <c r="P27" i="5"/>
  <c r="J7" i="5"/>
  <c r="F36" i="6" l="1"/>
  <c r="F35" i="6"/>
  <c r="F34" i="6"/>
  <c r="F32" i="6"/>
  <c r="G6" i="6"/>
  <c r="J27" i="5"/>
  <c r="O27" i="5"/>
</calcChain>
</file>

<file path=xl/sharedStrings.xml><?xml version="1.0" encoding="utf-8"?>
<sst xmlns="http://schemas.openxmlformats.org/spreadsheetml/2006/main" count="703" uniqueCount="105">
  <si>
    <t>⚙️  KONFIGURASI SISTEM ABSENSI</t>
  </si>
  <si>
    <t>Nama Sekolah</t>
  </si>
  <si>
    <t>SMP Plus YPP Darussurur</t>
  </si>
  <si>
    <t>Tanggal Mulai Periode</t>
  </si>
  <si>
    <t>Tanggal Akhir Periode</t>
  </si>
  <si>
    <t>Petugas / TTD</t>
  </si>
  <si>
    <t>Wilman Juniansyah, S.Pd.</t>
  </si>
  <si>
    <t>Kota</t>
  </si>
  <si>
    <t>Cimahi</t>
  </si>
  <si>
    <t>Keterangan Ekstra</t>
  </si>
  <si>
    <t>Periode 25 Maret - 24 April 2026</t>
  </si>
  <si>
    <t>LEGENDA WARNA STATUS</t>
  </si>
  <si>
    <t>Mengajar</t>
  </si>
  <si>
    <t>Sakit</t>
  </si>
  <si>
    <t>Izin</t>
  </si>
  <si>
    <t>Dinas Keluar Sekolah</t>
  </si>
  <si>
    <t>Tanpa Keterangan</t>
  </si>
  <si>
    <t>Libur Tanggal Merah</t>
  </si>
  <si>
    <t>Libur (umum/sekolah)</t>
  </si>
  <si>
    <t>Minggu / Tidak Dijadwalkan</t>
  </si>
  <si>
    <t>Hari Tidak Ada Jadwal</t>
  </si>
  <si>
    <t>MASTER DATA GURU — SMP Plus YPP Darussurur</t>
  </si>
  <si>
    <t>No</t>
  </si>
  <si>
    <t>Nama Guru</t>
  </si>
  <si>
    <t>Mata Pelajaran</t>
  </si>
  <si>
    <t>Dewi Andriani, S.Pd</t>
  </si>
  <si>
    <t>Matematika</t>
  </si>
  <si>
    <t>Wiwin Nitasari, S.Pd</t>
  </si>
  <si>
    <t>PKN</t>
  </si>
  <si>
    <t>Indra Kurniawan, A.Md</t>
  </si>
  <si>
    <t>Prakarya - TIK</t>
  </si>
  <si>
    <t>Siti Satriah, S.Pd</t>
  </si>
  <si>
    <t>B. Inggris</t>
  </si>
  <si>
    <t>Klidia Nurwulan, S.Pd</t>
  </si>
  <si>
    <t>B. Indonesia</t>
  </si>
  <si>
    <t>Putri Megawati, S.Pd</t>
  </si>
  <si>
    <t>PJOK</t>
  </si>
  <si>
    <t>Dani Ramdhani, S.Pd</t>
  </si>
  <si>
    <t>Shafa Padilah S. S.Pd</t>
  </si>
  <si>
    <t>Imam Hasbulloh, S.Pd</t>
  </si>
  <si>
    <t>Muhamad Aldiansyah</t>
  </si>
  <si>
    <t>M. Fadilah Abdurahman</t>
  </si>
  <si>
    <t>Seni Budaya</t>
  </si>
  <si>
    <t>Ahmad Yusup</t>
  </si>
  <si>
    <t>TIK</t>
  </si>
  <si>
    <t>Ai Rabiah Nur Syabani, S.Hum., S.Pd</t>
  </si>
  <si>
    <t>PAI</t>
  </si>
  <si>
    <t>Deni Sastra Dinata, S.H</t>
  </si>
  <si>
    <t>IPS</t>
  </si>
  <si>
    <t>Tasya Salsabila, S.Pd</t>
  </si>
  <si>
    <t>IPA - MTK</t>
  </si>
  <si>
    <t>Nana Fauziah, S.Pd</t>
  </si>
  <si>
    <t>Ajeng Putri Rahayu, S.Pd</t>
  </si>
  <si>
    <t>B. Sunda</t>
  </si>
  <si>
    <t>Febri Nugraha, S.Hum</t>
  </si>
  <si>
    <t>Dadang Try Subekti, S.Pd</t>
  </si>
  <si>
    <t>IPA</t>
  </si>
  <si>
    <t>Abdullah Nurrachman Soleh, S.Pd</t>
  </si>
  <si>
    <t>DATA JAM PELAJARAN — SMP Plus YPP Darussurur</t>
  </si>
  <si>
    <t>Jam Pelajaran per Hari</t>
  </si>
  <si>
    <t>Senin</t>
  </si>
  <si>
    <t>Selasa</t>
  </si>
  <si>
    <t>Rabu</t>
  </si>
  <si>
    <t>Kamis</t>
  </si>
  <si>
    <t>Jumat</t>
  </si>
  <si>
    <t>Sabtu</t>
  </si>
  <si>
    <t>Total/Minggu</t>
  </si>
  <si>
    <t>TOTAL JAM / MINGGU</t>
  </si>
  <si>
    <t>Nama Guru &amp; Mata Pelajaran</t>
  </si>
  <si>
    <t>MATA PELAJARAN</t>
  </si>
  <si>
    <t>Libur</t>
  </si>
  <si>
    <t>MINGGU</t>
  </si>
  <si>
    <t>REKAP ABSENSI MENGAJAR GURU UMUM  ·  SMP Plus YPP Darussurur</t>
  </si>
  <si>
    <t>STATUS KEHADIRAN BERDASARKAN JAM PELAJARAN</t>
  </si>
  <si>
    <t>STATUS KEHADIRAN BERDASARKAN HARI AKTIF MENGAJAR</t>
  </si>
  <si>
    <t>% KEHADIRAN
(Jam)</t>
  </si>
  <si>
    <t>Hari
Berjadwal</t>
  </si>
  <si>
    <t>Target Jam</t>
  </si>
  <si>
    <t>Jam Hadir</t>
  </si>
  <si>
    <t>Jam Sakit</t>
  </si>
  <si>
    <t>Jam Izin</t>
  </si>
  <si>
    <t>Jam Tanpa Keterangan</t>
  </si>
  <si>
    <t>Total Tidak Hadir</t>
  </si>
  <si>
    <t>Hari Hadir</t>
  </si>
  <si>
    <t>Hari Sakit</t>
  </si>
  <si>
    <t>Hari Izin</t>
  </si>
  <si>
    <t>Hari Tanpa Keterangan</t>
  </si>
  <si>
    <t>TOTAL</t>
  </si>
  <si>
    <t>Cimahi, 24 April 2026</t>
  </si>
  <si>
    <t>Petugas,</t>
  </si>
  <si>
    <t>NIP. ________________</t>
  </si>
  <si>
    <t>📊  DASHBOARD KEHADIRAN GURU  ·  SMP Plus YPP Darussurur</t>
  </si>
  <si>
    <t>🏆  RANKING KEHADIRAN GURU (berdasarkan % Jam)</t>
  </si>
  <si>
    <t>Rank</t>
  </si>
  <si>
    <t>Jam Tdk Hadir</t>
  </si>
  <si>
    <t>% Hadir
(dari jadwal)</t>
  </si>
  <si>
    <t>📈  RINGKASAN STATISTIK</t>
  </si>
  <si>
    <t>Total Guru</t>
  </si>
  <si>
    <t>Total Jam Target (Seluruh Guru)</t>
  </si>
  <si>
    <t>Total Jam Hadir</t>
  </si>
  <si>
    <t>Total Jam Tidak Hadir</t>
  </si>
  <si>
    <t>Rata-rata % Kehadiran</t>
  </si>
  <si>
    <t>Guru ≥ 90% Hadir (Hijau)</t>
  </si>
  <si>
    <t>Guru 75–90% Hadir (Kuning)</t>
  </si>
  <si>
    <t>Guru &lt; 75% Hadir (Merah)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</si>
</sst>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\ mmmm\ yyyy"/>
    <numFmt numFmtId="166" formatCode="dd"/>
  </numFmts>
  <fonts count="33" x14ac:knownFonts="1">
    <font>
      <sz val="11"/>
      <color theme="1"/>
      <name val="Calibri"/>
      <family val="2"/>
      <charset val="1"/>
    </font>
    <font>
      <b/>
      <sz val="10"/>
      <color rgb="FF1F4E79"/>
      <name val="Arial"/>
      <charset val="1"/>
    </font>
    <font>
      <sz val="10"/>
      <color rgb="FF000000"/>
      <name val="Arial"/>
      <charset val="1"/>
    </font>
    <font>
      <b/>
      <sz val="9"/>
      <color rgb="FF1F4E79"/>
      <name val="Arial"/>
      <charset val="1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sz val="10"/>
      <color rgb="FF00B050"/>
      <name val="Arial"/>
      <charset val="1"/>
    </font>
    <font>
      <b/>
      <sz val="10"/>
      <color rgb="FF000000"/>
      <name val="Arial"/>
      <charset val="1"/>
    </font>
    <font>
      <b/>
      <sz val="14"/>
      <color rgb="FFFFFFFF"/>
      <name val="Arial"/>
      <charset val="1"/>
    </font>
    <font>
      <sz val="10"/>
      <color rgb="FFC00000"/>
      <name val="Arial"/>
      <charset val="1"/>
    </font>
    <font>
      <b/>
      <sz val="11"/>
      <color rgb="FF1F4E79"/>
      <name val="Arial"/>
      <charset val="1"/>
    </font>
    <font>
      <b/>
      <sz val="13"/>
      <color rgb="FFFFFFFF"/>
      <name val="Aptos"/>
      <family val="2"/>
    </font>
    <font>
      <sz val="11"/>
      <color theme="1"/>
      <name val="Aptos"/>
      <family val="2"/>
    </font>
    <font>
      <b/>
      <sz val="10"/>
      <color rgb="FF1F4E79"/>
      <name val="Aptos"/>
      <family val="2"/>
    </font>
    <font>
      <sz val="10"/>
      <color rgb="FF000000"/>
      <name val="Aptos"/>
      <family val="2"/>
    </font>
    <font>
      <b/>
      <sz val="10"/>
      <color rgb="FFFFFFFF"/>
      <name val="Aptos"/>
      <family val="2"/>
    </font>
    <font>
      <b/>
      <sz val="10"/>
      <color rgb="FF00B050"/>
      <name val="Aptos"/>
      <family val="2"/>
    </font>
    <font>
      <b/>
      <sz val="10"/>
      <color rgb="FF7F6000"/>
      <name val="Aptos"/>
      <family val="2"/>
    </font>
    <font>
      <b/>
      <sz val="10"/>
      <color rgb="FF843C0C"/>
      <name val="Aptos"/>
      <family val="2"/>
    </font>
    <font>
      <b/>
      <sz val="10"/>
      <color rgb="FF1F497D"/>
      <name val="Aptos"/>
      <family val="2"/>
    </font>
    <font>
      <b/>
      <sz val="10"/>
      <color rgb="FFC00000"/>
      <name val="Aptos"/>
      <family val="2"/>
    </font>
    <font>
      <b/>
      <sz val="10"/>
      <color rgb="FF404040"/>
      <name val="Aptos"/>
      <family val="2"/>
    </font>
    <font>
      <b/>
      <sz val="10"/>
      <color rgb="FF595959"/>
      <name val="Aptos"/>
      <family val="2"/>
    </font>
    <font>
      <b/>
      <sz val="10"/>
      <color rgb="FFA0A0A0"/>
      <name val="Aptos"/>
      <family val="2"/>
    </font>
    <font>
      <b/>
      <sz val="12"/>
      <color rgb="FFFFFFFF"/>
      <name val="Aptos"/>
      <family val="2"/>
    </font>
    <font>
      <b/>
      <sz val="9"/>
      <color rgb="FFFFFFFF"/>
      <name val="Aptos"/>
      <family val="2"/>
    </font>
    <font>
      <b/>
      <sz val="8"/>
      <color rgb="FF1F4E79"/>
      <name val="Aptos"/>
      <family val="2"/>
    </font>
    <font>
      <b/>
      <sz val="9"/>
      <color rgb="FF1F4E79"/>
      <name val="Aptos"/>
      <family val="2"/>
    </font>
    <font>
      <sz val="8"/>
      <color rgb="FF1F4E79"/>
      <name val="Aptos"/>
      <family val="2"/>
    </font>
    <font>
      <sz val="9"/>
      <color rgb="FF000000"/>
      <name val="Aptos"/>
      <family val="2"/>
    </font>
    <font>
      <b/>
      <sz val="11"/>
      <color rgb="FFFFFFFF"/>
      <name val="Aptos"/>
      <family val="2"/>
    </font>
    <font>
      <b/>
      <sz val="10"/>
      <color rgb="FF000000"/>
      <name val="Aptos"/>
      <family val="2"/>
    </font>
    <font>
      <sz val="10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1F497D"/>
      </patternFill>
    </fill>
    <fill>
      <patternFill patternType="solid">
        <fgColor rgb="FFBDD7EE"/>
        <bgColor rgb="FFB8CCE4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CC99"/>
      </patternFill>
    </fill>
    <fill>
      <patternFill patternType="solid">
        <fgColor rgb="FFFFCC99"/>
        <bgColor rgb="FFFFC7CE"/>
      </patternFill>
    </fill>
    <fill>
      <patternFill patternType="solid">
        <fgColor rgb="FF9DC3E6"/>
        <bgColor rgb="FFB8CCE4"/>
      </patternFill>
    </fill>
    <fill>
      <patternFill patternType="solid">
        <fgColor rgb="FFFFC7CE"/>
        <bgColor rgb="FFFFB3B3"/>
      </patternFill>
    </fill>
    <fill>
      <patternFill patternType="solid">
        <fgColor rgb="FFFFB3B3"/>
        <bgColor rgb="FFFFC7CE"/>
      </patternFill>
    </fill>
    <fill>
      <patternFill patternType="solid">
        <fgColor rgb="FFD9D9D9"/>
        <bgColor rgb="FFCCCCCC"/>
      </patternFill>
    </fill>
    <fill>
      <patternFill patternType="solid">
        <fgColor rgb="FFF2F2F2"/>
        <bgColor rgb="FFEFEFEF"/>
      </patternFill>
    </fill>
    <fill>
      <patternFill patternType="solid">
        <fgColor rgb="FFEBF3FB"/>
        <bgColor rgb="FFF2F2F2"/>
      </patternFill>
    </fill>
    <fill>
      <patternFill patternType="solid">
        <fgColor theme="0"/>
        <bgColor rgb="FF1F497D"/>
      </patternFill>
    </fill>
    <fill>
      <patternFill patternType="solid">
        <fgColor theme="0"/>
        <bgColor rgb="FF0066CC"/>
      </patternFill>
    </fill>
  </fills>
  <borders count="18">
    <border>
      <left/>
      <right/>
      <top/>
      <bottom/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thin">
        <color rgb="FFB8CCE4"/>
      </bottom>
      <diagonal/>
    </border>
    <border>
      <left style="medium">
        <color rgb="FF1F4E79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medium">
        <color rgb="FF1F4E79"/>
      </right>
      <top style="thin">
        <color rgb="FFB8CCE4"/>
      </top>
      <bottom style="thin">
        <color rgb="FFB8CCE4"/>
      </bottom>
      <diagonal/>
    </border>
    <border>
      <left style="medium">
        <color rgb="FF1F4E79"/>
      </left>
      <right style="thin">
        <color rgb="FFB8CCE4"/>
      </right>
      <top style="thin">
        <color rgb="FFB8CCE4"/>
      </top>
      <bottom style="medium">
        <color rgb="FF1F4E79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medium">
        <color rgb="FF1F4E79"/>
      </bottom>
      <diagonal/>
    </border>
    <border>
      <left style="thin">
        <color rgb="FFB8CCE4"/>
      </left>
      <right style="medium">
        <color rgb="FF1F4E79"/>
      </right>
      <top style="thin">
        <color rgb="FFB8CCE4"/>
      </top>
      <bottom style="medium">
        <color rgb="FF1F4E79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/>
      <top/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medium">
        <color rgb="FF1F4E79"/>
      </top>
      <bottom style="thin">
        <color rgb="FFB8CCE4"/>
      </bottom>
      <diagonal/>
    </border>
    <border>
      <left/>
      <right style="medium">
        <color rgb="FF1F4E79"/>
      </right>
      <top style="medium">
        <color rgb="FF1F4E79"/>
      </top>
      <bottom style="thin">
        <color rgb="FFB8CCE4"/>
      </bottom>
      <diagonal/>
    </border>
    <border>
      <left/>
      <right/>
      <top style="thin">
        <color rgb="FFB8CCE4"/>
      </top>
      <bottom style="medium">
        <color rgb="FF1F4E79"/>
      </bottom>
      <diagonal/>
    </border>
    <border>
      <left/>
      <right style="thin">
        <color rgb="FFB8CCE4"/>
      </right>
      <top style="thin">
        <color rgb="FFB8CCE4"/>
      </top>
      <bottom style="medium">
        <color rgb="FF1F4E79"/>
      </bottom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4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left" vertical="center"/>
    </xf>
    <xf numFmtId="0" fontId="4" fillId="1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12" fillId="0" borderId="0" xfId="0" applyFont="1"/>
    <xf numFmtId="0" fontId="13" fillId="3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left" vertical="center"/>
    </xf>
    <xf numFmtId="0" fontId="15" fillId="5" borderId="5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14" borderId="4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left" vertical="center"/>
    </xf>
    <xf numFmtId="0" fontId="14" fillId="14" borderId="5" xfId="0" applyFont="1" applyFill="1" applyBorder="1" applyAlignment="1">
      <alignment horizontal="center" vertical="center"/>
    </xf>
    <xf numFmtId="0" fontId="14" fillId="14" borderId="6" xfId="0" applyFont="1" applyFill="1" applyBorder="1" applyAlignment="1">
      <alignment horizontal="center" vertical="center"/>
    </xf>
    <xf numFmtId="0" fontId="14" fillId="14" borderId="7" xfId="0" applyFont="1" applyFill="1" applyBorder="1" applyAlignment="1">
      <alignment horizontal="left" vertical="center"/>
    </xf>
    <xf numFmtId="0" fontId="14" fillId="14" borderId="8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left" vertical="center"/>
    </xf>
    <xf numFmtId="0" fontId="29" fillId="4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29" fillId="14" borderId="2" xfId="0" applyFont="1" applyFill="1" applyBorder="1" applyAlignment="1">
      <alignment horizontal="left" vertical="center"/>
    </xf>
    <xf numFmtId="0" fontId="29" fillId="14" borderId="2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16" fillId="4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0" fontId="31" fillId="14" borderId="2" xfId="0" applyFont="1" applyFill="1" applyBorder="1" applyAlignment="1">
      <alignment horizontal="center" vertical="center"/>
    </xf>
    <xf numFmtId="0" fontId="11" fillId="15" borderId="0" xfId="0" applyFont="1" applyFill="1" applyAlignment="1">
      <alignment vertical="center" wrapText="1"/>
    </xf>
    <xf numFmtId="0" fontId="30" fillId="16" borderId="0" xfId="0" applyFont="1" applyFill="1" applyAlignment="1">
      <alignment vertical="center" wrapText="1"/>
    </xf>
    <xf numFmtId="165" fontId="14" fillId="4" borderId="2" xfId="0" applyNumberFormat="1" applyFont="1" applyFill="1" applyBorder="1" applyAlignment="1">
      <alignment horizontal="left" vertical="center"/>
    </xf>
    <xf numFmtId="166" fontId="26" fillId="3" borderId="2" xfId="0" applyNumberFormat="1" applyFont="1" applyFill="1" applyBorder="1" applyAlignment="1">
      <alignment horizontal="center" vertical="center" wrapText="1"/>
    </xf>
    <xf numFmtId="164" fontId="31" fillId="4" borderId="2" xfId="0" applyNumberFormat="1" applyFont="1" applyFill="1" applyBorder="1" applyAlignment="1">
      <alignment horizontal="center" vertical="center"/>
    </xf>
    <xf numFmtId="164" fontId="31" fillId="14" borderId="2" xfId="0" applyNumberFormat="1" applyFont="1" applyFill="1" applyBorder="1" applyAlignment="1">
      <alignment horizontal="center" vertical="center"/>
    </xf>
    <xf numFmtId="164" fontId="12" fillId="0" borderId="0" xfId="0" applyNumberFormat="1" applyFont="1"/>
    <xf numFmtId="164" fontId="7" fillId="4" borderId="2" xfId="0" applyNumberFormat="1" applyFont="1" applyFill="1" applyBorder="1" applyAlignment="1">
      <alignment horizontal="center" vertical="center"/>
    </xf>
    <xf numFmtId="164" fontId="7" fillId="14" borderId="2" xfId="0" applyNumberFormat="1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0" fillId="0" borderId="12" xfId="0" applyBorder="1"/>
    <xf numFmtId="0" fontId="20" fillId="11" borderId="2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0" fillId="0" borderId="11" xfId="0" applyBorder="1"/>
    <xf numFmtId="0" fontId="15" fillId="5" borderId="1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15" fillId="2" borderId="6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15" fillId="5" borderId="4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0" fillId="0" borderId="17" xfId="0" applyBorder="1"/>
    <xf numFmtId="0" fontId="30" fillId="5" borderId="1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0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64" fontId="10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b/>
        <color rgb="FF00B05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B9C"/>
        </patternFill>
      </fill>
    </dxf>
    <dxf>
      <font>
        <b/>
        <color rgb="FFC00000"/>
        <name val="Arial"/>
        <charset val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B05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B9C"/>
        </patternFill>
      </fill>
    </dxf>
    <dxf>
      <font>
        <b/>
        <color rgb="FFC00000"/>
        <name val="Arial"/>
        <charset val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A0A0A0"/>
        <name val="Arial"/>
        <charset val="1"/>
      </font>
      <fill>
        <patternFill>
          <bgColor rgb="FFF2F2F2"/>
        </patternFill>
      </fill>
    </dxf>
    <dxf>
      <font>
        <sz val="9"/>
        <color rgb="FFCCCCCC"/>
        <name val="Arial"/>
        <charset val="1"/>
      </font>
      <fill>
        <patternFill>
          <bgColor rgb="FFEFEFEF"/>
        </patternFill>
      </fill>
    </dxf>
    <dxf>
      <font>
        <sz val="9"/>
        <color rgb="FFA0A0A0"/>
        <name val="Arial"/>
        <charset val="1"/>
      </font>
      <fill>
        <patternFill>
          <bgColor rgb="FFF2F2F2"/>
        </patternFill>
      </fill>
    </dxf>
    <dxf>
      <font>
        <sz val="9"/>
        <color rgb="FF404040"/>
        <name val="Arial"/>
        <charset val="1"/>
      </font>
      <fill>
        <patternFill>
          <bgColor rgb="FFD9D9D9"/>
        </patternFill>
      </fill>
    </dxf>
    <dxf>
      <font>
        <sz val="9"/>
        <color rgb="FFC00000"/>
        <name val="Arial"/>
        <charset val="1"/>
      </font>
      <fill>
        <patternFill>
          <bgColor rgb="FFFFB3B3"/>
        </patternFill>
      </fill>
    </dxf>
    <dxf>
      <font>
        <sz val="9"/>
        <color rgb="FFC00000"/>
        <name val="Arial"/>
        <charset val="1"/>
      </font>
      <fill>
        <patternFill>
          <bgColor rgb="FFFFC7CE"/>
        </patternFill>
      </fill>
    </dxf>
    <dxf>
      <font>
        <sz val="9"/>
        <color rgb="FF1F497D"/>
        <name val="Arial"/>
        <charset val="1"/>
      </font>
      <fill>
        <patternFill>
          <bgColor rgb="FF9DC3E6"/>
        </patternFill>
      </fill>
    </dxf>
    <dxf>
      <font>
        <sz val="9"/>
        <color rgb="FF843C0C"/>
        <name val="Arial"/>
        <charset val="1"/>
      </font>
      <fill>
        <patternFill>
          <bgColor rgb="FFFFCC99"/>
        </patternFill>
      </fill>
    </dxf>
    <dxf>
      <font>
        <sz val="9"/>
        <color rgb="FF7F6000"/>
        <name val="Arial"/>
        <charset val="1"/>
      </font>
      <fill>
        <patternFill>
          <bgColor rgb="FFFFEB9C"/>
        </patternFill>
      </fill>
    </dxf>
    <dxf>
      <font>
        <b/>
        <sz val="9"/>
        <color rgb="FF00B050"/>
        <name val="Arial"/>
        <charset val="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D9D9D9"/>
      <rgbColor rgb="FF993366"/>
      <rgbColor rgb="FFF2F2F2"/>
      <rgbColor rgb="FFEBF3FB"/>
      <rgbColor rgb="FF660066"/>
      <rgbColor rgb="FFFFC7CE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6EFCE"/>
      <rgbColor rgb="FFFFEB9C"/>
      <rgbColor rgb="FF9DC3E6"/>
      <rgbColor rgb="FFFFB3B3"/>
      <rgbColor rgb="FFB8CCE4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0A0A0"/>
      <rgbColor rgb="FF1F4E79"/>
      <rgbColor rgb="FF00B050"/>
      <rgbColor rgb="FF003300"/>
      <rgbColor rgb="FF333300"/>
      <rgbColor rgb="FF843C0C"/>
      <rgbColor rgb="FF993366"/>
      <rgbColor rgb="FF1F497D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9"/>
  <sheetViews>
    <sheetView showGridLines="0" tabSelected="1" zoomScaleNormal="100" workbookViewId="0">
      <selection activeCell="L16" sqref="L16"/>
    </sheetView>
  </sheetViews>
  <sheetFormatPr defaultColWidth="8.7109375" defaultRowHeight="15" x14ac:dyDescent="0.25"/>
  <cols>
    <col min="1" max="1" width="3" style="16" customWidth="1"/>
    <col min="2" max="2" width="28" style="16" customWidth="1"/>
    <col min="3" max="3" width="32" style="16" customWidth="1"/>
    <col min="4" max="4" width="3" style="16" customWidth="1"/>
    <col min="5" max="5" width="8.7109375" style="16" customWidth="1"/>
    <col min="6" max="16384" width="8.7109375" style="16"/>
  </cols>
  <sheetData>
    <row r="1" spans="2:3" ht="30" customHeight="1" x14ac:dyDescent="0.25">
      <c r="B1" s="76" t="s">
        <v>0</v>
      </c>
      <c r="C1" s="71"/>
    </row>
    <row r="3" spans="2:3" ht="19.5" customHeight="1" x14ac:dyDescent="0.25">
      <c r="B3" s="17" t="s">
        <v>1</v>
      </c>
      <c r="C3" s="18" t="s">
        <v>2</v>
      </c>
    </row>
    <row r="4" spans="2:3" ht="19.5" customHeight="1" x14ac:dyDescent="0.25">
      <c r="B4" s="17" t="s">
        <v>3</v>
      </c>
      <c r="C4" s="58">
        <v>46106</v>
      </c>
    </row>
    <row r="5" spans="2:3" ht="19.5" customHeight="1" x14ac:dyDescent="0.25">
      <c r="B5" s="17" t="s">
        <v>4</v>
      </c>
      <c r="C5" s="58">
        <v>46136</v>
      </c>
    </row>
    <row r="6" spans="2:3" ht="19.5" customHeight="1" x14ac:dyDescent="0.25">
      <c r="B6" s="17" t="s">
        <v>5</v>
      </c>
      <c r="C6" s="18" t="s">
        <v>6</v>
      </c>
    </row>
    <row r="7" spans="2:3" ht="19.5" customHeight="1" x14ac:dyDescent="0.25">
      <c r="B7" s="17" t="s">
        <v>7</v>
      </c>
      <c r="C7" s="18" t="s">
        <v>8</v>
      </c>
    </row>
    <row r="8" spans="2:3" ht="19.5" customHeight="1" x14ac:dyDescent="0.25">
      <c r="B8" s="17" t="s">
        <v>9</v>
      </c>
      <c r="C8" s="18" t="s">
        <v>10</v>
      </c>
    </row>
    <row r="10" spans="2:3" ht="21.75" customHeight="1" x14ac:dyDescent="0.25">
      <c r="B10" s="72" t="s">
        <v>11</v>
      </c>
      <c r="C10" s="71"/>
    </row>
    <row r="11" spans="2:3" ht="18" customHeight="1" x14ac:dyDescent="0.25">
      <c r="B11" s="69" t="s">
        <v>12</v>
      </c>
      <c r="C11" s="66"/>
    </row>
    <row r="12" spans="2:3" ht="18" customHeight="1" x14ac:dyDescent="0.25">
      <c r="B12" s="77" t="s">
        <v>13</v>
      </c>
      <c r="C12" s="66"/>
    </row>
    <row r="13" spans="2:3" ht="18" customHeight="1" x14ac:dyDescent="0.25">
      <c r="B13" s="65" t="s">
        <v>14</v>
      </c>
      <c r="C13" s="66"/>
    </row>
    <row r="14" spans="2:3" ht="18" customHeight="1" x14ac:dyDescent="0.25">
      <c r="B14" s="73" t="s">
        <v>15</v>
      </c>
      <c r="C14" s="66"/>
    </row>
    <row r="15" spans="2:3" ht="18" customHeight="1" x14ac:dyDescent="0.25">
      <c r="B15" s="68" t="s">
        <v>16</v>
      </c>
      <c r="C15" s="66"/>
    </row>
    <row r="16" spans="2:3" ht="18" customHeight="1" x14ac:dyDescent="0.25">
      <c r="B16" s="67" t="s">
        <v>17</v>
      </c>
      <c r="C16" s="66"/>
    </row>
    <row r="17" spans="2:3" ht="18" customHeight="1" x14ac:dyDescent="0.25">
      <c r="B17" s="74" t="s">
        <v>18</v>
      </c>
      <c r="C17" s="66"/>
    </row>
    <row r="18" spans="2:3" ht="18" customHeight="1" x14ac:dyDescent="0.25">
      <c r="B18" s="75" t="s">
        <v>19</v>
      </c>
      <c r="C18" s="71"/>
    </row>
    <row r="19" spans="2:3" ht="18" customHeight="1" x14ac:dyDescent="0.25">
      <c r="B19" s="70" t="s">
        <v>20</v>
      </c>
      <c r="C19" s="71"/>
    </row>
  </sheetData>
  <mergeCells count="11">
    <mergeCell ref="B10:C10"/>
    <mergeCell ref="B14:C14"/>
    <mergeCell ref="B17:C17"/>
    <mergeCell ref="B18:C18"/>
    <mergeCell ref="B1:C1"/>
    <mergeCell ref="B12:C12"/>
    <mergeCell ref="B13:C13"/>
    <mergeCell ref="B16:C16"/>
    <mergeCell ref="B15:C15"/>
    <mergeCell ref="B11:C11"/>
    <mergeCell ref="B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2"/>
  <sheetViews>
    <sheetView showGridLines="0" zoomScaleNormal="100" workbookViewId="0">
      <selection activeCell="H5" sqref="H5"/>
    </sheetView>
  </sheetViews>
  <sheetFormatPr defaultColWidth="8.7109375" defaultRowHeight="15" x14ac:dyDescent="0.25"/>
  <cols>
    <col min="1" max="1" width="3" style="16" customWidth="1"/>
    <col min="2" max="2" width="6" style="16" customWidth="1"/>
    <col min="3" max="3" width="36" style="16" customWidth="1"/>
    <col min="4" max="4" width="22" style="16" customWidth="1"/>
    <col min="5" max="5" width="3" style="16" customWidth="1"/>
    <col min="6" max="6" width="8.7109375" style="16" customWidth="1"/>
    <col min="7" max="16384" width="8.7109375" style="16"/>
  </cols>
  <sheetData>
    <row r="1" spans="2:4" ht="27.75" customHeight="1" x14ac:dyDescent="0.25">
      <c r="B1" s="78" t="s">
        <v>21</v>
      </c>
      <c r="C1" s="79"/>
      <c r="D1" s="80"/>
    </row>
    <row r="2" spans="2:4" ht="21.75" customHeight="1" x14ac:dyDescent="0.25">
      <c r="B2" s="28" t="s">
        <v>22</v>
      </c>
      <c r="C2" s="29" t="s">
        <v>23</v>
      </c>
      <c r="D2" s="19" t="s">
        <v>24</v>
      </c>
    </row>
    <row r="3" spans="2:4" ht="18" customHeight="1" x14ac:dyDescent="0.25">
      <c r="B3" s="20">
        <v>1</v>
      </c>
      <c r="C3" s="18" t="s">
        <v>25</v>
      </c>
      <c r="D3" s="21" t="s">
        <v>26</v>
      </c>
    </row>
    <row r="4" spans="2:4" ht="18" customHeight="1" x14ac:dyDescent="0.25">
      <c r="B4" s="22">
        <v>2</v>
      </c>
      <c r="C4" s="23" t="s">
        <v>27</v>
      </c>
      <c r="D4" s="24" t="s">
        <v>28</v>
      </c>
    </row>
    <row r="5" spans="2:4" ht="18" customHeight="1" x14ac:dyDescent="0.25">
      <c r="B5" s="20">
        <v>3</v>
      </c>
      <c r="C5" s="18" t="s">
        <v>29</v>
      </c>
      <c r="D5" s="21" t="s">
        <v>30</v>
      </c>
    </row>
    <row r="6" spans="2:4" ht="18" customHeight="1" x14ac:dyDescent="0.25">
      <c r="B6" s="22">
        <v>4</v>
      </c>
      <c r="C6" s="23" t="s">
        <v>31</v>
      </c>
      <c r="D6" s="24" t="s">
        <v>32</v>
      </c>
    </row>
    <row r="7" spans="2:4" ht="18" customHeight="1" x14ac:dyDescent="0.25">
      <c r="B7" s="20">
        <v>5</v>
      </c>
      <c r="C7" s="18" t="s">
        <v>33</v>
      </c>
      <c r="D7" s="21" t="s">
        <v>34</v>
      </c>
    </row>
    <row r="8" spans="2:4" ht="18" customHeight="1" x14ac:dyDescent="0.25">
      <c r="B8" s="22">
        <v>6</v>
      </c>
      <c r="C8" s="23" t="s">
        <v>35</v>
      </c>
      <c r="D8" s="24" t="s">
        <v>36</v>
      </c>
    </row>
    <row r="9" spans="2:4" ht="18" customHeight="1" x14ac:dyDescent="0.25">
      <c r="B9" s="20">
        <v>7</v>
      </c>
      <c r="C9" s="18" t="s">
        <v>37</v>
      </c>
      <c r="D9" s="21" t="s">
        <v>32</v>
      </c>
    </row>
    <row r="10" spans="2:4" ht="18" customHeight="1" x14ac:dyDescent="0.25">
      <c r="B10" s="22">
        <v>8</v>
      </c>
      <c r="C10" s="23" t="s">
        <v>38</v>
      </c>
      <c r="D10" s="24" t="s">
        <v>34</v>
      </c>
    </row>
    <row r="11" spans="2:4" ht="18" customHeight="1" x14ac:dyDescent="0.25">
      <c r="B11" s="20">
        <v>9</v>
      </c>
      <c r="C11" s="18" t="s">
        <v>39</v>
      </c>
      <c r="D11" s="21" t="s">
        <v>26</v>
      </c>
    </row>
    <row r="12" spans="2:4" ht="18" customHeight="1" x14ac:dyDescent="0.25">
      <c r="B12" s="22">
        <v>10</v>
      </c>
      <c r="C12" s="23" t="s">
        <v>40</v>
      </c>
      <c r="D12" s="24" t="s">
        <v>32</v>
      </c>
    </row>
    <row r="13" spans="2:4" ht="18" customHeight="1" x14ac:dyDescent="0.25">
      <c r="B13" s="20">
        <v>11</v>
      </c>
      <c r="C13" s="18" t="s">
        <v>41</v>
      </c>
      <c r="D13" s="21" t="s">
        <v>42</v>
      </c>
    </row>
    <row r="14" spans="2:4" ht="18" customHeight="1" x14ac:dyDescent="0.25">
      <c r="B14" s="22">
        <v>12</v>
      </c>
      <c r="C14" s="23" t="s">
        <v>43</v>
      </c>
      <c r="D14" s="24" t="s">
        <v>44</v>
      </c>
    </row>
    <row r="15" spans="2:4" ht="18" customHeight="1" x14ac:dyDescent="0.25">
      <c r="B15" s="20">
        <v>13</v>
      </c>
      <c r="C15" s="18" t="s">
        <v>45</v>
      </c>
      <c r="D15" s="21" t="s">
        <v>46</v>
      </c>
    </row>
    <row r="16" spans="2:4" ht="18" customHeight="1" x14ac:dyDescent="0.25">
      <c r="B16" s="22">
        <v>14</v>
      </c>
      <c r="C16" s="23" t="s">
        <v>47</v>
      </c>
      <c r="D16" s="24" t="s">
        <v>48</v>
      </c>
    </row>
    <row r="17" spans="2:4" ht="18" customHeight="1" x14ac:dyDescent="0.25">
      <c r="B17" s="20">
        <v>15</v>
      </c>
      <c r="C17" s="18" t="s">
        <v>49</v>
      </c>
      <c r="D17" s="21" t="s">
        <v>50</v>
      </c>
    </row>
    <row r="18" spans="2:4" ht="18" customHeight="1" x14ac:dyDescent="0.25">
      <c r="B18" s="22">
        <v>16</v>
      </c>
      <c r="C18" s="23" t="s">
        <v>51</v>
      </c>
      <c r="D18" s="24" t="s">
        <v>46</v>
      </c>
    </row>
    <row r="19" spans="2:4" ht="18" customHeight="1" x14ac:dyDescent="0.25">
      <c r="B19" s="20">
        <v>17</v>
      </c>
      <c r="C19" s="18" t="s">
        <v>52</v>
      </c>
      <c r="D19" s="21" t="s">
        <v>53</v>
      </c>
    </row>
    <row r="20" spans="2:4" ht="18" customHeight="1" x14ac:dyDescent="0.25">
      <c r="B20" s="22">
        <v>18</v>
      </c>
      <c r="C20" s="23" t="s">
        <v>54</v>
      </c>
      <c r="D20" s="24" t="s">
        <v>48</v>
      </c>
    </row>
    <row r="21" spans="2:4" ht="18" customHeight="1" x14ac:dyDescent="0.25">
      <c r="B21" s="20">
        <v>19</v>
      </c>
      <c r="C21" s="18" t="s">
        <v>55</v>
      </c>
      <c r="D21" s="21" t="s">
        <v>56</v>
      </c>
    </row>
    <row r="22" spans="2:4" ht="18" customHeight="1" x14ac:dyDescent="0.25">
      <c r="B22" s="25">
        <v>20</v>
      </c>
      <c r="C22" s="26" t="s">
        <v>57</v>
      </c>
      <c r="D22" s="27" t="s">
        <v>36</v>
      </c>
    </row>
  </sheetData>
  <mergeCells count="1">
    <mergeCell ref="B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4"/>
  <sheetViews>
    <sheetView showGridLines="0" topLeftCell="A7" zoomScaleNormal="100" workbookViewId="0">
      <selection activeCell="J7" sqref="J7"/>
    </sheetView>
  </sheetViews>
  <sheetFormatPr defaultColWidth="8.7109375" defaultRowHeight="15" x14ac:dyDescent="0.25"/>
  <cols>
    <col min="1" max="1" width="3" style="16" customWidth="1"/>
    <col min="2" max="2" width="6" style="16" customWidth="1"/>
    <col min="3" max="3" width="36" style="16" customWidth="1"/>
    <col min="4" max="4" width="22" style="16" customWidth="1"/>
    <col min="5" max="10" width="9" style="16" customWidth="1"/>
    <col min="11" max="11" width="13.7109375" style="16" customWidth="1"/>
    <col min="12" max="12" width="3" style="16" customWidth="1"/>
    <col min="13" max="13" width="8.7109375" style="16" customWidth="1"/>
    <col min="14" max="16384" width="8.7109375" style="16"/>
  </cols>
  <sheetData>
    <row r="1" spans="2:11" ht="27.75" customHeight="1" x14ac:dyDescent="0.25">
      <c r="B1" s="78" t="s">
        <v>58</v>
      </c>
      <c r="C1" s="79"/>
      <c r="D1" s="79"/>
      <c r="E1" s="79"/>
      <c r="F1" s="79"/>
      <c r="G1" s="79"/>
      <c r="H1" s="79"/>
      <c r="I1" s="79"/>
      <c r="J1" s="79"/>
      <c r="K1" s="80"/>
    </row>
    <row r="2" spans="2:11" ht="15" customHeight="1" x14ac:dyDescent="0.25">
      <c r="B2" s="84"/>
      <c r="C2" s="71"/>
      <c r="D2" s="66"/>
      <c r="E2" s="85" t="s">
        <v>59</v>
      </c>
      <c r="F2" s="71"/>
      <c r="G2" s="71"/>
      <c r="H2" s="71"/>
      <c r="I2" s="71"/>
      <c r="J2" s="66"/>
      <c r="K2" s="19"/>
    </row>
    <row r="3" spans="2:11" ht="21.75" customHeight="1" x14ac:dyDescent="0.25">
      <c r="B3" s="30" t="s">
        <v>22</v>
      </c>
      <c r="C3" s="17" t="s">
        <v>23</v>
      </c>
      <c r="D3" s="17" t="s">
        <v>24</v>
      </c>
      <c r="E3" s="17" t="s">
        <v>60</v>
      </c>
      <c r="F3" s="17" t="s">
        <v>61</v>
      </c>
      <c r="G3" s="17" t="s">
        <v>62</v>
      </c>
      <c r="H3" s="17" t="s">
        <v>63</v>
      </c>
      <c r="I3" s="17" t="s">
        <v>64</v>
      </c>
      <c r="J3" s="17" t="s">
        <v>65</v>
      </c>
      <c r="K3" s="31" t="s">
        <v>66</v>
      </c>
    </row>
    <row r="4" spans="2:11" ht="18" customHeight="1" x14ac:dyDescent="0.25">
      <c r="B4" s="20">
        <v>1</v>
      </c>
      <c r="C4" s="18" t="s">
        <v>25</v>
      </c>
      <c r="D4" s="32" t="s">
        <v>26</v>
      </c>
      <c r="E4" s="32">
        <v>0</v>
      </c>
      <c r="F4" s="32">
        <v>4</v>
      </c>
      <c r="G4" s="32">
        <v>0</v>
      </c>
      <c r="H4" s="32">
        <v>0</v>
      </c>
      <c r="I4" s="32">
        <v>6</v>
      </c>
      <c r="J4" s="32">
        <v>0</v>
      </c>
      <c r="K4" s="33">
        <f t="shared" ref="K4:K23" si="0">SUM(E4:J4)</f>
        <v>10</v>
      </c>
    </row>
    <row r="5" spans="2:11" ht="18" customHeight="1" x14ac:dyDescent="0.25">
      <c r="B5" s="22">
        <v>2</v>
      </c>
      <c r="C5" s="23" t="s">
        <v>27</v>
      </c>
      <c r="D5" s="34" t="s">
        <v>28</v>
      </c>
      <c r="E5" s="34">
        <v>9</v>
      </c>
      <c r="F5" s="34">
        <v>9</v>
      </c>
      <c r="G5" s="34">
        <v>6</v>
      </c>
      <c r="H5" s="34">
        <v>0</v>
      </c>
      <c r="I5" s="34">
        <v>9</v>
      </c>
      <c r="J5" s="34">
        <v>0</v>
      </c>
      <c r="K5" s="33">
        <f t="shared" si="0"/>
        <v>33</v>
      </c>
    </row>
    <row r="6" spans="2:11" ht="18" customHeight="1" x14ac:dyDescent="0.25">
      <c r="B6" s="20">
        <v>3</v>
      </c>
      <c r="C6" s="18" t="s">
        <v>29</v>
      </c>
      <c r="D6" s="32" t="s">
        <v>30</v>
      </c>
      <c r="E6" s="32">
        <v>4</v>
      </c>
      <c r="F6" s="32">
        <v>6</v>
      </c>
      <c r="G6" s="32">
        <v>0</v>
      </c>
      <c r="H6" s="32">
        <v>4</v>
      </c>
      <c r="I6" s="32">
        <v>0</v>
      </c>
      <c r="J6" s="32">
        <v>0</v>
      </c>
      <c r="K6" s="33">
        <f t="shared" si="0"/>
        <v>14</v>
      </c>
    </row>
    <row r="7" spans="2:11" ht="18" customHeight="1" x14ac:dyDescent="0.25">
      <c r="B7" s="22">
        <v>4</v>
      </c>
      <c r="C7" s="23" t="s">
        <v>31</v>
      </c>
      <c r="D7" s="34" t="s">
        <v>32</v>
      </c>
      <c r="E7" s="34">
        <v>4</v>
      </c>
      <c r="F7" s="34">
        <v>4</v>
      </c>
      <c r="G7" s="34">
        <v>0</v>
      </c>
      <c r="H7" s="34">
        <v>0</v>
      </c>
      <c r="I7" s="34">
        <v>8</v>
      </c>
      <c r="J7" s="34">
        <v>0</v>
      </c>
      <c r="K7" s="33">
        <f t="shared" si="0"/>
        <v>16</v>
      </c>
    </row>
    <row r="8" spans="2:11" ht="18" customHeight="1" x14ac:dyDescent="0.25">
      <c r="B8" s="20">
        <v>5</v>
      </c>
      <c r="C8" s="18" t="s">
        <v>33</v>
      </c>
      <c r="D8" s="32" t="s">
        <v>34</v>
      </c>
      <c r="E8" s="32">
        <v>7</v>
      </c>
      <c r="F8" s="32">
        <v>7</v>
      </c>
      <c r="G8" s="32">
        <v>0</v>
      </c>
      <c r="H8" s="32">
        <v>7</v>
      </c>
      <c r="I8" s="32">
        <v>9</v>
      </c>
      <c r="J8" s="32">
        <v>0</v>
      </c>
      <c r="K8" s="33">
        <f t="shared" si="0"/>
        <v>30</v>
      </c>
    </row>
    <row r="9" spans="2:11" ht="18" customHeight="1" x14ac:dyDescent="0.25">
      <c r="B9" s="22">
        <v>6</v>
      </c>
      <c r="C9" s="23" t="s">
        <v>35</v>
      </c>
      <c r="D9" s="34" t="s">
        <v>36</v>
      </c>
      <c r="E9" s="34">
        <v>0</v>
      </c>
      <c r="F9" s="34">
        <v>6</v>
      </c>
      <c r="G9" s="34">
        <v>3</v>
      </c>
      <c r="H9" s="34">
        <v>0</v>
      </c>
      <c r="I9" s="34">
        <v>6</v>
      </c>
      <c r="J9" s="34">
        <v>0</v>
      </c>
      <c r="K9" s="33">
        <f t="shared" si="0"/>
        <v>15</v>
      </c>
    </row>
    <row r="10" spans="2:11" ht="18" customHeight="1" x14ac:dyDescent="0.25">
      <c r="B10" s="20">
        <v>7</v>
      </c>
      <c r="C10" s="18" t="s">
        <v>37</v>
      </c>
      <c r="D10" s="32" t="s">
        <v>32</v>
      </c>
      <c r="E10" s="32">
        <v>0</v>
      </c>
      <c r="F10" s="32">
        <v>4</v>
      </c>
      <c r="G10" s="32">
        <v>5</v>
      </c>
      <c r="H10" s="32">
        <v>0</v>
      </c>
      <c r="I10" s="32">
        <v>3</v>
      </c>
      <c r="J10" s="32">
        <v>0</v>
      </c>
      <c r="K10" s="33">
        <f t="shared" si="0"/>
        <v>12</v>
      </c>
    </row>
    <row r="11" spans="2:11" ht="18" customHeight="1" x14ac:dyDescent="0.25">
      <c r="B11" s="22">
        <v>8</v>
      </c>
      <c r="C11" s="23" t="s">
        <v>38</v>
      </c>
      <c r="D11" s="34" t="s">
        <v>34</v>
      </c>
      <c r="E11" s="34">
        <v>8</v>
      </c>
      <c r="F11" s="34">
        <v>6</v>
      </c>
      <c r="G11" s="34">
        <v>5</v>
      </c>
      <c r="H11" s="34">
        <v>0</v>
      </c>
      <c r="I11" s="34">
        <v>6</v>
      </c>
      <c r="J11" s="34">
        <v>0</v>
      </c>
      <c r="K11" s="33">
        <f t="shared" si="0"/>
        <v>25</v>
      </c>
    </row>
    <row r="12" spans="2:11" ht="18" customHeight="1" x14ac:dyDescent="0.25">
      <c r="B12" s="20">
        <v>9</v>
      </c>
      <c r="C12" s="18" t="s">
        <v>39</v>
      </c>
      <c r="D12" s="32" t="s">
        <v>26</v>
      </c>
      <c r="E12" s="32">
        <v>7</v>
      </c>
      <c r="F12" s="32">
        <v>7</v>
      </c>
      <c r="G12" s="32">
        <v>6</v>
      </c>
      <c r="H12" s="32">
        <v>6</v>
      </c>
      <c r="I12" s="32">
        <v>9</v>
      </c>
      <c r="J12" s="32">
        <v>0</v>
      </c>
      <c r="K12" s="33">
        <f t="shared" si="0"/>
        <v>35</v>
      </c>
    </row>
    <row r="13" spans="2:11" ht="18" customHeight="1" x14ac:dyDescent="0.25">
      <c r="B13" s="22">
        <v>10</v>
      </c>
      <c r="C13" s="23" t="s">
        <v>40</v>
      </c>
      <c r="D13" s="34" t="s">
        <v>32</v>
      </c>
      <c r="E13" s="34">
        <v>4</v>
      </c>
      <c r="F13" s="34">
        <v>2</v>
      </c>
      <c r="G13" s="34">
        <v>4</v>
      </c>
      <c r="H13" s="34">
        <v>6</v>
      </c>
      <c r="I13" s="34">
        <v>0</v>
      </c>
      <c r="J13" s="34">
        <v>0</v>
      </c>
      <c r="K13" s="33">
        <f t="shared" si="0"/>
        <v>16</v>
      </c>
    </row>
    <row r="14" spans="2:11" ht="18" customHeight="1" x14ac:dyDescent="0.25">
      <c r="B14" s="20">
        <v>11</v>
      </c>
      <c r="C14" s="18" t="s">
        <v>41</v>
      </c>
      <c r="D14" s="32" t="s">
        <v>42</v>
      </c>
      <c r="E14" s="32">
        <v>0</v>
      </c>
      <c r="F14" s="32">
        <v>3</v>
      </c>
      <c r="G14" s="32">
        <v>6</v>
      </c>
      <c r="H14" s="32">
        <v>3</v>
      </c>
      <c r="I14" s="32">
        <v>4</v>
      </c>
      <c r="J14" s="32">
        <v>0</v>
      </c>
      <c r="K14" s="33">
        <f t="shared" si="0"/>
        <v>16</v>
      </c>
    </row>
    <row r="15" spans="2:11" ht="18" customHeight="1" x14ac:dyDescent="0.25">
      <c r="B15" s="22">
        <v>12</v>
      </c>
      <c r="C15" s="23" t="s">
        <v>43</v>
      </c>
      <c r="D15" s="34" t="s">
        <v>44</v>
      </c>
      <c r="E15" s="34">
        <v>4</v>
      </c>
      <c r="F15" s="34">
        <v>0</v>
      </c>
      <c r="G15" s="34">
        <v>4</v>
      </c>
      <c r="H15" s="34">
        <v>4</v>
      </c>
      <c r="I15" s="34">
        <v>2</v>
      </c>
      <c r="J15" s="34">
        <v>0</v>
      </c>
      <c r="K15" s="33">
        <f t="shared" si="0"/>
        <v>14</v>
      </c>
    </row>
    <row r="16" spans="2:11" ht="18" customHeight="1" x14ac:dyDescent="0.25">
      <c r="B16" s="20">
        <v>13</v>
      </c>
      <c r="C16" s="18" t="s">
        <v>45</v>
      </c>
      <c r="D16" s="32" t="s">
        <v>46</v>
      </c>
      <c r="E16" s="32">
        <v>0</v>
      </c>
      <c r="F16" s="32">
        <v>3</v>
      </c>
      <c r="G16" s="32">
        <v>6</v>
      </c>
      <c r="H16" s="32">
        <v>5</v>
      </c>
      <c r="I16" s="32">
        <v>1</v>
      </c>
      <c r="J16" s="32">
        <v>0</v>
      </c>
      <c r="K16" s="33">
        <f t="shared" si="0"/>
        <v>15</v>
      </c>
    </row>
    <row r="17" spans="2:11" ht="18" customHeight="1" x14ac:dyDescent="0.25">
      <c r="B17" s="22">
        <v>14</v>
      </c>
      <c r="C17" s="23" t="s">
        <v>47</v>
      </c>
      <c r="D17" s="34" t="s">
        <v>48</v>
      </c>
      <c r="E17" s="34">
        <v>3</v>
      </c>
      <c r="F17" s="34">
        <v>4</v>
      </c>
      <c r="G17" s="34">
        <v>7</v>
      </c>
      <c r="H17" s="34">
        <v>7</v>
      </c>
      <c r="I17" s="34">
        <v>3</v>
      </c>
      <c r="J17" s="34">
        <v>0</v>
      </c>
      <c r="K17" s="33">
        <f t="shared" si="0"/>
        <v>24</v>
      </c>
    </row>
    <row r="18" spans="2:11" ht="18" customHeight="1" x14ac:dyDescent="0.25">
      <c r="B18" s="20">
        <v>15</v>
      </c>
      <c r="C18" s="18" t="s">
        <v>49</v>
      </c>
      <c r="D18" s="32" t="s">
        <v>50</v>
      </c>
      <c r="E18" s="32">
        <v>9</v>
      </c>
      <c r="F18" s="32">
        <v>5</v>
      </c>
      <c r="G18" s="32">
        <v>0</v>
      </c>
      <c r="H18" s="32">
        <v>10</v>
      </c>
      <c r="I18" s="32">
        <v>6</v>
      </c>
      <c r="J18" s="32">
        <v>0</v>
      </c>
      <c r="K18" s="33">
        <f t="shared" si="0"/>
        <v>30</v>
      </c>
    </row>
    <row r="19" spans="2:11" ht="18" customHeight="1" x14ac:dyDescent="0.25">
      <c r="B19" s="22">
        <v>16</v>
      </c>
      <c r="C19" s="23" t="s">
        <v>51</v>
      </c>
      <c r="D19" s="34" t="s">
        <v>46</v>
      </c>
      <c r="E19" s="34">
        <v>2</v>
      </c>
      <c r="F19" s="34">
        <v>0</v>
      </c>
      <c r="G19" s="34">
        <v>7</v>
      </c>
      <c r="H19" s="34">
        <v>0</v>
      </c>
      <c r="I19" s="34">
        <v>9</v>
      </c>
      <c r="J19" s="34">
        <v>0</v>
      </c>
      <c r="K19" s="33">
        <f t="shared" si="0"/>
        <v>18</v>
      </c>
    </row>
    <row r="20" spans="2:11" ht="18" customHeight="1" x14ac:dyDescent="0.25">
      <c r="B20" s="20">
        <v>17</v>
      </c>
      <c r="C20" s="18" t="s">
        <v>52</v>
      </c>
      <c r="D20" s="32" t="s">
        <v>53</v>
      </c>
      <c r="E20" s="32">
        <v>4</v>
      </c>
      <c r="F20" s="32">
        <v>0</v>
      </c>
      <c r="G20" s="32">
        <v>6</v>
      </c>
      <c r="H20" s="32">
        <v>4</v>
      </c>
      <c r="I20" s="32">
        <v>8</v>
      </c>
      <c r="J20" s="32">
        <v>0</v>
      </c>
      <c r="K20" s="33">
        <f t="shared" si="0"/>
        <v>22</v>
      </c>
    </row>
    <row r="21" spans="2:11" ht="18" customHeight="1" x14ac:dyDescent="0.25">
      <c r="B21" s="22">
        <v>18</v>
      </c>
      <c r="C21" s="23" t="s">
        <v>54</v>
      </c>
      <c r="D21" s="34" t="s">
        <v>48</v>
      </c>
      <c r="E21" s="34">
        <v>6</v>
      </c>
      <c r="F21" s="34">
        <v>0</v>
      </c>
      <c r="G21" s="34">
        <v>4</v>
      </c>
      <c r="H21" s="34">
        <v>7</v>
      </c>
      <c r="I21" s="34">
        <v>3</v>
      </c>
      <c r="J21" s="34">
        <v>0</v>
      </c>
      <c r="K21" s="33">
        <f t="shared" si="0"/>
        <v>20</v>
      </c>
    </row>
    <row r="22" spans="2:11" ht="18" customHeight="1" x14ac:dyDescent="0.25">
      <c r="B22" s="20">
        <v>19</v>
      </c>
      <c r="C22" s="18" t="s">
        <v>55</v>
      </c>
      <c r="D22" s="32" t="s">
        <v>56</v>
      </c>
      <c r="E22" s="32">
        <v>0</v>
      </c>
      <c r="F22" s="32">
        <v>4</v>
      </c>
      <c r="G22" s="32">
        <v>8</v>
      </c>
      <c r="H22" s="32">
        <v>8</v>
      </c>
      <c r="I22" s="32">
        <v>4</v>
      </c>
      <c r="J22" s="32">
        <v>0</v>
      </c>
      <c r="K22" s="33">
        <f t="shared" si="0"/>
        <v>24</v>
      </c>
    </row>
    <row r="23" spans="2:11" ht="18" customHeight="1" x14ac:dyDescent="0.25">
      <c r="B23" s="22">
        <v>20</v>
      </c>
      <c r="C23" s="23" t="s">
        <v>57</v>
      </c>
      <c r="D23" s="34" t="s">
        <v>36</v>
      </c>
      <c r="E23" s="34">
        <v>6</v>
      </c>
      <c r="F23" s="34">
        <v>3</v>
      </c>
      <c r="G23" s="34">
        <v>0</v>
      </c>
      <c r="H23" s="34">
        <v>6</v>
      </c>
      <c r="I23" s="34">
        <v>3</v>
      </c>
      <c r="J23" s="34">
        <v>0</v>
      </c>
      <c r="K23" s="33">
        <f t="shared" si="0"/>
        <v>18</v>
      </c>
    </row>
    <row r="24" spans="2:11" ht="19.5" customHeight="1" x14ac:dyDescent="0.25">
      <c r="B24" s="81" t="s">
        <v>67</v>
      </c>
      <c r="C24" s="82"/>
      <c r="D24" s="83"/>
      <c r="E24" s="35">
        <f t="shared" ref="E24:K24" si="1">SUM(E4:E23)</f>
        <v>77</v>
      </c>
      <c r="F24" s="35">
        <f t="shared" si="1"/>
        <v>77</v>
      </c>
      <c r="G24" s="35">
        <f t="shared" si="1"/>
        <v>77</v>
      </c>
      <c r="H24" s="35">
        <f t="shared" si="1"/>
        <v>77</v>
      </c>
      <c r="I24" s="35">
        <f t="shared" si="1"/>
        <v>99</v>
      </c>
      <c r="J24" s="35">
        <f t="shared" si="1"/>
        <v>0</v>
      </c>
      <c r="K24" s="36">
        <f t="shared" si="1"/>
        <v>407</v>
      </c>
    </row>
  </sheetData>
  <sheetProtection algorithmName="SHA-512" hashValue="ycROz96131j0bBvIzUwB4JgHK2Zamlhhs5FVTynysD6DcFSmY4a5j9zWAP4BnGqgmodkudHRXqBd2jN8X+nKIA==" saltValue="CnOPrXu/a0eaJv3Lo/b4Ng==" spinCount="100000" sheet="1"/>
  <mergeCells count="4">
    <mergeCell ref="B1:K1"/>
    <mergeCell ref="B24:D24"/>
    <mergeCell ref="B2:D2"/>
    <mergeCell ref="E2:J2"/>
  </mergeCells>
  <conditionalFormatting sqref="E4:J23">
    <cfRule type="cellIs" dxfId="18" priority="1" operator="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Q23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L10" sqref="AL10"/>
    </sheetView>
  </sheetViews>
  <sheetFormatPr defaultColWidth="8.7109375" defaultRowHeight="15" x14ac:dyDescent="0.25"/>
  <cols>
    <col min="1" max="1" width="3" style="16" customWidth="1"/>
    <col min="2" max="2" width="5" style="16" customWidth="1"/>
    <col min="3" max="3" width="36" style="16" customWidth="1"/>
    <col min="4" max="46" width="4.42578125" style="16" customWidth="1"/>
    <col min="47" max="47" width="8.7109375" style="16" customWidth="1"/>
    <col min="48" max="16384" width="8.7109375" style="16"/>
  </cols>
  <sheetData>
    <row r="1" spans="2:43" ht="30" customHeight="1" x14ac:dyDescent="0.25">
      <c r="B1" s="86" t="str">
        <f>CONFIG!C3&amp;"  ·  ABSENSI GURU  ·  "&amp;TEXT(CONFIG!C4,"DD MMMM YYYY")&amp;"  s.d.  "&amp;TEXT(CONFIG!C5,"DD MMMM YYYY")</f>
        <v>SMP Plus YPP Darussurur  ·  ABSENSI GURU  ·  25 March 2026  s.d.  24 April 2026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</row>
    <row r="2" spans="2:43" ht="18" customHeight="1" x14ac:dyDescent="0.25">
      <c r="B2" s="37" t="s">
        <v>22</v>
      </c>
      <c r="C2" s="37" t="s">
        <v>68</v>
      </c>
      <c r="D2" s="59">
        <f>CONFIG!C4</f>
        <v>46106</v>
      </c>
      <c r="E2" s="59">
        <f>IF(D2="","",IF(D2+1&lt;=CONFIG!$C$5,D2+1,""))</f>
        <v>46107</v>
      </c>
      <c r="F2" s="59">
        <f>IF(E2="","",IF(E2+1&lt;=CONFIG!$C$5,E2+1,""))</f>
        <v>46108</v>
      </c>
      <c r="G2" s="59">
        <f>IF(F2="","",IF(F2+1&lt;=CONFIG!$C$5,F2+1,""))</f>
        <v>46109</v>
      </c>
      <c r="H2" s="59">
        <f>IF(G2="","",IF(G2+1&lt;=CONFIG!$C$5,G2+1,""))</f>
        <v>46110</v>
      </c>
      <c r="I2" s="59">
        <f>IF(H2="","",IF(H2+1&lt;=CONFIG!$C$5,H2+1,""))</f>
        <v>46111</v>
      </c>
      <c r="J2" s="59">
        <f>IF(I2="","",IF(I2+1&lt;=CONFIG!$C$5,I2+1,""))</f>
        <v>46112</v>
      </c>
      <c r="K2" s="59">
        <f>IF(J2="","",IF(J2+1&lt;=CONFIG!$C$5,J2+1,""))</f>
        <v>46113</v>
      </c>
      <c r="L2" s="59">
        <f>IF(K2="","",IF(K2+1&lt;=CONFIG!$C$5,K2+1,""))</f>
        <v>46114</v>
      </c>
      <c r="M2" s="59">
        <f>IF(L2="","",IF(L2+1&lt;=CONFIG!$C$5,L2+1,""))</f>
        <v>46115</v>
      </c>
      <c r="N2" s="59">
        <f>IF(M2="","",IF(M2+1&lt;=CONFIG!$C$5,M2+1,""))</f>
        <v>46116</v>
      </c>
      <c r="O2" s="59">
        <f>IF(N2="","",IF(N2+1&lt;=CONFIG!$C$5,N2+1,""))</f>
        <v>46117</v>
      </c>
      <c r="P2" s="59">
        <f>IF(O2="","",IF(O2+1&lt;=CONFIG!$C$5,O2+1,""))</f>
        <v>46118</v>
      </c>
      <c r="Q2" s="59">
        <f>IF(P2="","",IF(P2+1&lt;=CONFIG!$C$5,P2+1,""))</f>
        <v>46119</v>
      </c>
      <c r="R2" s="59">
        <f>IF(Q2="","",IF(Q2+1&lt;=CONFIG!$C$5,Q2+1,""))</f>
        <v>46120</v>
      </c>
      <c r="S2" s="59">
        <f>IF(R2="","",IF(R2+1&lt;=CONFIG!$C$5,R2+1,""))</f>
        <v>46121</v>
      </c>
      <c r="T2" s="59">
        <f>IF(S2="","",IF(S2+1&lt;=CONFIG!$C$5,S2+1,""))</f>
        <v>46122</v>
      </c>
      <c r="U2" s="59">
        <f>IF(T2="","",IF(T2+1&lt;=CONFIG!$C$5,T2+1,""))</f>
        <v>46123</v>
      </c>
      <c r="V2" s="59">
        <f>IF(U2="","",IF(U2+1&lt;=CONFIG!$C$5,U2+1,""))</f>
        <v>46124</v>
      </c>
      <c r="W2" s="59">
        <f>IF(V2="","",IF(V2+1&lt;=CONFIG!$C$5,V2+1,""))</f>
        <v>46125</v>
      </c>
      <c r="X2" s="59">
        <f>IF(W2="","",IF(W2+1&lt;=CONFIG!$C$5,W2+1,""))</f>
        <v>46126</v>
      </c>
      <c r="Y2" s="59">
        <f>IF(X2="","",IF(X2+1&lt;=CONFIG!$C$5,X2+1,""))</f>
        <v>46127</v>
      </c>
      <c r="Z2" s="59">
        <f>IF(Y2="","",IF(Y2+1&lt;=CONFIG!$C$5,Y2+1,""))</f>
        <v>46128</v>
      </c>
      <c r="AA2" s="59">
        <f>IF(Z2="","",IF(Z2+1&lt;=CONFIG!$C$5,Z2+1,""))</f>
        <v>46129</v>
      </c>
      <c r="AB2" s="59">
        <f>IF(AA2="","",IF(AA2+1&lt;=CONFIG!$C$5,AA2+1,""))</f>
        <v>46130</v>
      </c>
      <c r="AC2" s="59">
        <f>IF(AB2="","",IF(AB2+1&lt;=CONFIG!$C$5,AB2+1,""))</f>
        <v>46131</v>
      </c>
      <c r="AD2" s="59">
        <f>IF(AC2="","",IF(AC2+1&lt;=CONFIG!$C$5,AC2+1,""))</f>
        <v>46132</v>
      </c>
      <c r="AE2" s="59">
        <f>IF(AD2="","",IF(AD2+1&lt;=CONFIG!$C$5,AD2+1,""))</f>
        <v>46133</v>
      </c>
      <c r="AF2" s="59">
        <f>IF(AE2="","",IF(AE2+1&lt;=CONFIG!$C$5,AE2+1,""))</f>
        <v>46134</v>
      </c>
      <c r="AG2" s="59">
        <f>IF(AF2="","",IF(AF2+1&lt;=CONFIG!$C$5,AF2+1,""))</f>
        <v>46135</v>
      </c>
      <c r="AH2" s="59">
        <f>IF(AG2="","",IF(AG2+1&lt;=CONFIG!$C$5,AG2+1,""))</f>
        <v>46136</v>
      </c>
      <c r="AI2" s="59" t="str">
        <f>IF(AH2="","",IF(AH2+1&lt;=CONFIG!$C$5,AH2+1,""))</f>
        <v/>
      </c>
      <c r="AJ2" s="59" t="str">
        <f>IF(AI2="","",IF(AI2+1&lt;=CONFIG!$C$5,AI2+1,""))</f>
        <v/>
      </c>
      <c r="AK2" s="59" t="str">
        <f>IF(AJ2="","",IF(AJ2+1&lt;=CONFIG!$C$5,AJ2+1,""))</f>
        <v/>
      </c>
      <c r="AL2" s="59" t="str">
        <f>IF(AK2="","",IF(AK2+1&lt;=CONFIG!$C$5,AK2+1,""))</f>
        <v/>
      </c>
      <c r="AM2" s="59" t="str">
        <f>IF(AL2="","",IF(AL2+1&lt;=CONFIG!$C$5,AL2+1,""))</f>
        <v/>
      </c>
      <c r="AN2" s="59" t="str">
        <f>IF(AM2="","",IF(AM2+1&lt;=CONFIG!$C$5,AM2+1,""))</f>
        <v/>
      </c>
      <c r="AO2" s="59" t="str">
        <f>IF(AN2="","",IF(AN2+1&lt;=CONFIG!$C$5,AN2+1,""))</f>
        <v/>
      </c>
      <c r="AP2" s="59" t="str">
        <f>IF(AO2="","",IF(AO2+1&lt;=CONFIG!$C$5,AO2+1,""))</f>
        <v/>
      </c>
      <c r="AQ2" s="59" t="str">
        <f>IF(AP2="","",IF(AP2+1&lt;=CONFIG!$C$5,AP2+1,""))</f>
        <v/>
      </c>
    </row>
    <row r="3" spans="2:43" ht="18" customHeight="1" x14ac:dyDescent="0.25">
      <c r="B3" s="38"/>
      <c r="C3" s="39" t="s">
        <v>69</v>
      </c>
      <c r="D3" s="47" t="str">
        <f t="shared" ref="D3:AQ3" si="0">IF(D2="","",CHOOSE(WEEKDAY(D2,2),"Senin","Selasa","Rabu","Kamis","Jumat","Sabtu","Minggu"))</f>
        <v>Rabu</v>
      </c>
      <c r="E3" s="47" t="str">
        <f t="shared" si="0"/>
        <v>Kamis</v>
      </c>
      <c r="F3" s="47" t="str">
        <f t="shared" si="0"/>
        <v>Jumat</v>
      </c>
      <c r="G3" s="47" t="str">
        <f t="shared" si="0"/>
        <v>Sabtu</v>
      </c>
      <c r="H3" s="47" t="str">
        <f t="shared" si="0"/>
        <v>Minggu</v>
      </c>
      <c r="I3" s="47" t="str">
        <f t="shared" si="0"/>
        <v>Senin</v>
      </c>
      <c r="J3" s="47" t="str">
        <f t="shared" si="0"/>
        <v>Selasa</v>
      </c>
      <c r="K3" s="47" t="str">
        <f t="shared" si="0"/>
        <v>Rabu</v>
      </c>
      <c r="L3" s="47" t="str">
        <f t="shared" si="0"/>
        <v>Kamis</v>
      </c>
      <c r="M3" s="47" t="str">
        <f t="shared" si="0"/>
        <v>Jumat</v>
      </c>
      <c r="N3" s="47" t="str">
        <f t="shared" si="0"/>
        <v>Sabtu</v>
      </c>
      <c r="O3" s="47" t="str">
        <f t="shared" si="0"/>
        <v>Minggu</v>
      </c>
      <c r="P3" s="47" t="str">
        <f t="shared" si="0"/>
        <v>Senin</v>
      </c>
      <c r="Q3" s="47" t="str">
        <f t="shared" si="0"/>
        <v>Selasa</v>
      </c>
      <c r="R3" s="47" t="str">
        <f t="shared" si="0"/>
        <v>Rabu</v>
      </c>
      <c r="S3" s="47" t="str">
        <f t="shared" si="0"/>
        <v>Kamis</v>
      </c>
      <c r="T3" s="47" t="str">
        <f t="shared" si="0"/>
        <v>Jumat</v>
      </c>
      <c r="U3" s="47" t="str">
        <f t="shared" si="0"/>
        <v>Sabtu</v>
      </c>
      <c r="V3" s="47" t="str">
        <f t="shared" si="0"/>
        <v>Minggu</v>
      </c>
      <c r="W3" s="47" t="str">
        <f t="shared" si="0"/>
        <v>Senin</v>
      </c>
      <c r="X3" s="47" t="str">
        <f t="shared" si="0"/>
        <v>Selasa</v>
      </c>
      <c r="Y3" s="47" t="str">
        <f t="shared" si="0"/>
        <v>Rabu</v>
      </c>
      <c r="Z3" s="47" t="str">
        <f t="shared" si="0"/>
        <v>Kamis</v>
      </c>
      <c r="AA3" s="47" t="str">
        <f t="shared" si="0"/>
        <v>Jumat</v>
      </c>
      <c r="AB3" s="47" t="str">
        <f t="shared" si="0"/>
        <v>Sabtu</v>
      </c>
      <c r="AC3" s="47" t="str">
        <f t="shared" si="0"/>
        <v>Minggu</v>
      </c>
      <c r="AD3" s="47" t="str">
        <f t="shared" si="0"/>
        <v>Senin</v>
      </c>
      <c r="AE3" s="47" t="str">
        <f t="shared" si="0"/>
        <v>Selasa</v>
      </c>
      <c r="AF3" s="47" t="str">
        <f t="shared" si="0"/>
        <v>Rabu</v>
      </c>
      <c r="AG3" s="47" t="str">
        <f t="shared" si="0"/>
        <v>Kamis</v>
      </c>
      <c r="AH3" s="47" t="str">
        <f t="shared" si="0"/>
        <v>Jumat</v>
      </c>
      <c r="AI3" s="40" t="str">
        <f t="shared" si="0"/>
        <v/>
      </c>
      <c r="AJ3" s="40" t="str">
        <f t="shared" si="0"/>
        <v/>
      </c>
      <c r="AK3" s="40" t="str">
        <f t="shared" si="0"/>
        <v/>
      </c>
      <c r="AL3" s="40" t="str">
        <f t="shared" si="0"/>
        <v/>
      </c>
      <c r="AM3" s="40" t="str">
        <f t="shared" si="0"/>
        <v/>
      </c>
      <c r="AN3" s="40" t="str">
        <f t="shared" si="0"/>
        <v/>
      </c>
      <c r="AO3" s="40" t="str">
        <f t="shared" si="0"/>
        <v/>
      </c>
      <c r="AP3" s="40" t="str">
        <f t="shared" si="0"/>
        <v/>
      </c>
      <c r="AQ3" s="40" t="str">
        <f t="shared" si="0"/>
        <v/>
      </c>
    </row>
    <row r="4" spans="2:43" ht="15.75" customHeight="1" x14ac:dyDescent="0.25">
      <c r="B4" s="41">
        <v>1</v>
      </c>
      <c r="C4" s="42" t="str">
        <f>DATA_GURU!C3&amp;" ["&amp;DATA_GURU!D3&amp;"]"</f>
        <v>Dewi Andriani, S.Pd [Matematika]</v>
      </c>
      <c r="D4" s="43"/>
      <c r="E4" s="43"/>
      <c r="F4" s="43" t="s">
        <v>17</v>
      </c>
      <c r="G4" s="43" t="s">
        <v>70</v>
      </c>
      <c r="H4" s="43" t="s">
        <v>71</v>
      </c>
      <c r="I4" s="43"/>
      <c r="J4" s="43" t="s">
        <v>12</v>
      </c>
      <c r="K4" s="43"/>
      <c r="L4" s="43"/>
      <c r="M4" s="43" t="s">
        <v>12</v>
      </c>
      <c r="N4" s="43"/>
      <c r="O4" s="43" t="s">
        <v>71</v>
      </c>
      <c r="P4" s="43"/>
      <c r="Q4" s="43" t="s">
        <v>12</v>
      </c>
      <c r="R4" s="43"/>
      <c r="S4" s="43"/>
      <c r="T4" s="43" t="s">
        <v>12</v>
      </c>
      <c r="U4" s="43"/>
      <c r="V4" s="43" t="s">
        <v>71</v>
      </c>
      <c r="W4" s="43"/>
      <c r="X4" s="43" t="s">
        <v>12</v>
      </c>
      <c r="Y4" s="43"/>
      <c r="Z4" s="43"/>
      <c r="AA4" s="43" t="s">
        <v>12</v>
      </c>
      <c r="AB4" s="43"/>
      <c r="AC4" s="43" t="s">
        <v>71</v>
      </c>
      <c r="AD4" s="43"/>
      <c r="AE4" s="43" t="s">
        <v>12</v>
      </c>
      <c r="AF4" s="43"/>
      <c r="AG4" s="43"/>
      <c r="AH4" s="43" t="s">
        <v>12</v>
      </c>
      <c r="AI4" s="43"/>
      <c r="AJ4" s="43"/>
      <c r="AK4" s="43"/>
      <c r="AL4" s="43"/>
      <c r="AM4" s="43"/>
      <c r="AN4" s="43"/>
      <c r="AO4" s="43"/>
      <c r="AP4" s="43"/>
      <c r="AQ4" s="43"/>
    </row>
    <row r="5" spans="2:43" ht="15.75" customHeight="1" x14ac:dyDescent="0.25">
      <c r="B5" s="44">
        <v>2</v>
      </c>
      <c r="C5" s="45" t="str">
        <f>DATA_GURU!C4&amp;" ["&amp;DATA_GURU!D4&amp;"]"</f>
        <v>Wiwin Nitasari, S.Pd [PKN]</v>
      </c>
      <c r="D5" s="43" t="s">
        <v>17</v>
      </c>
      <c r="E5" s="46"/>
      <c r="F5" s="43" t="s">
        <v>17</v>
      </c>
      <c r="G5" s="46" t="s">
        <v>70</v>
      </c>
      <c r="H5" s="46" t="s">
        <v>71</v>
      </c>
      <c r="I5" s="46" t="s">
        <v>12</v>
      </c>
      <c r="J5" s="46" t="s">
        <v>12</v>
      </c>
      <c r="K5" s="46" t="s">
        <v>12</v>
      </c>
      <c r="L5" s="46"/>
      <c r="M5" s="46" t="s">
        <v>12</v>
      </c>
      <c r="N5" s="46"/>
      <c r="O5" s="46" t="s">
        <v>71</v>
      </c>
      <c r="P5" s="46" t="s">
        <v>12</v>
      </c>
      <c r="Q5" s="46" t="s">
        <v>12</v>
      </c>
      <c r="R5" s="46" t="s">
        <v>12</v>
      </c>
      <c r="S5" s="46"/>
      <c r="T5" s="46" t="s">
        <v>12</v>
      </c>
      <c r="U5" s="46"/>
      <c r="V5" s="46" t="s">
        <v>71</v>
      </c>
      <c r="W5" s="43" t="s">
        <v>12</v>
      </c>
      <c r="X5" s="43" t="s">
        <v>12</v>
      </c>
      <c r="Y5" s="43" t="s">
        <v>12</v>
      </c>
      <c r="Z5" s="46"/>
      <c r="AA5" s="46" t="s">
        <v>12</v>
      </c>
      <c r="AB5" s="46"/>
      <c r="AC5" s="46" t="s">
        <v>71</v>
      </c>
      <c r="AD5" s="46" t="s">
        <v>12</v>
      </c>
      <c r="AE5" s="46" t="s">
        <v>12</v>
      </c>
      <c r="AF5" s="46" t="s">
        <v>12</v>
      </c>
      <c r="AG5" s="46"/>
      <c r="AH5" s="46" t="s">
        <v>12</v>
      </c>
      <c r="AI5" s="46"/>
      <c r="AJ5" s="46"/>
      <c r="AK5" s="46"/>
      <c r="AL5" s="46"/>
      <c r="AM5" s="46"/>
      <c r="AN5" s="46"/>
      <c r="AO5" s="46"/>
      <c r="AP5" s="46"/>
      <c r="AQ5" s="46"/>
    </row>
    <row r="6" spans="2:43" ht="15.75" customHeight="1" x14ac:dyDescent="0.25">
      <c r="B6" s="41">
        <v>3</v>
      </c>
      <c r="C6" s="42" t="str">
        <f>DATA_GURU!C5&amp;" ["&amp;DATA_GURU!D5&amp;"]"</f>
        <v>Indra Kurniawan, A.Md [Prakarya - TIK]</v>
      </c>
      <c r="D6" s="43"/>
      <c r="E6" s="43" t="s">
        <v>17</v>
      </c>
      <c r="F6" s="43"/>
      <c r="G6" s="43" t="s">
        <v>70</v>
      </c>
      <c r="H6" s="43" t="s">
        <v>71</v>
      </c>
      <c r="I6" s="43" t="s">
        <v>12</v>
      </c>
      <c r="J6" s="43" t="s">
        <v>12</v>
      </c>
      <c r="K6" s="43"/>
      <c r="L6" s="43" t="s">
        <v>12</v>
      </c>
      <c r="M6" s="43"/>
      <c r="N6" s="43" t="s">
        <v>70</v>
      </c>
      <c r="O6" s="43" t="s">
        <v>71</v>
      </c>
      <c r="P6" s="43" t="s">
        <v>12</v>
      </c>
      <c r="Q6" s="43" t="s">
        <v>12</v>
      </c>
      <c r="R6" s="43"/>
      <c r="S6" s="43" t="s">
        <v>12</v>
      </c>
      <c r="T6" s="43"/>
      <c r="U6" s="43" t="s">
        <v>70</v>
      </c>
      <c r="V6" s="43" t="s">
        <v>71</v>
      </c>
      <c r="W6" s="43" t="s">
        <v>12</v>
      </c>
      <c r="X6" s="43" t="s">
        <v>12</v>
      </c>
      <c r="Y6" s="43"/>
      <c r="Z6" s="43" t="s">
        <v>12</v>
      </c>
      <c r="AA6" s="43"/>
      <c r="AB6" s="43" t="s">
        <v>70</v>
      </c>
      <c r="AC6" s="43" t="s">
        <v>71</v>
      </c>
      <c r="AD6" s="43" t="s">
        <v>12</v>
      </c>
      <c r="AE6" s="43" t="s">
        <v>12</v>
      </c>
      <c r="AF6" s="43"/>
      <c r="AG6" s="43" t="s">
        <v>12</v>
      </c>
      <c r="AH6" s="43"/>
      <c r="AI6" s="43"/>
      <c r="AJ6" s="43"/>
      <c r="AK6" s="43"/>
      <c r="AL6" s="43"/>
      <c r="AM6" s="43"/>
      <c r="AN6" s="43"/>
      <c r="AO6" s="43"/>
      <c r="AP6" s="43"/>
      <c r="AQ6" s="43"/>
    </row>
    <row r="7" spans="2:43" ht="15.75" customHeight="1" x14ac:dyDescent="0.25">
      <c r="B7" s="44">
        <v>4</v>
      </c>
      <c r="C7" s="45" t="str">
        <f>DATA_GURU!C6&amp;" ["&amp;DATA_GURU!D6&amp;"]"</f>
        <v>Siti Satriah, S.Pd [B. Inggris]</v>
      </c>
      <c r="D7" s="46"/>
      <c r="E7" s="46"/>
      <c r="F7" s="43" t="s">
        <v>17</v>
      </c>
      <c r="G7" s="46" t="s">
        <v>70</v>
      </c>
      <c r="H7" s="46" t="s">
        <v>71</v>
      </c>
      <c r="I7" s="46" t="s">
        <v>12</v>
      </c>
      <c r="J7" s="46" t="s">
        <v>12</v>
      </c>
      <c r="K7" s="46"/>
      <c r="L7" s="46"/>
      <c r="M7" s="46" t="s">
        <v>12</v>
      </c>
      <c r="N7" s="43" t="s">
        <v>70</v>
      </c>
      <c r="O7" s="46" t="s">
        <v>71</v>
      </c>
      <c r="P7" s="46" t="s">
        <v>12</v>
      </c>
      <c r="Q7" s="46" t="s">
        <v>12</v>
      </c>
      <c r="R7" s="46"/>
      <c r="S7" s="46"/>
      <c r="T7" s="46" t="s">
        <v>12</v>
      </c>
      <c r="U7" s="43" t="s">
        <v>70</v>
      </c>
      <c r="V7" s="46" t="s">
        <v>71</v>
      </c>
      <c r="W7" s="46" t="s">
        <v>12</v>
      </c>
      <c r="X7" s="46" t="s">
        <v>12</v>
      </c>
      <c r="Y7" s="46"/>
      <c r="Z7" s="46"/>
      <c r="AA7" s="46" t="s">
        <v>12</v>
      </c>
      <c r="AB7" s="43" t="s">
        <v>70</v>
      </c>
      <c r="AC7" s="46" t="s">
        <v>71</v>
      </c>
      <c r="AD7" s="46" t="s">
        <v>12</v>
      </c>
      <c r="AE7" s="46" t="s">
        <v>12</v>
      </c>
      <c r="AF7" s="46"/>
      <c r="AG7" s="46"/>
      <c r="AH7" s="46" t="s">
        <v>12</v>
      </c>
      <c r="AI7" s="46"/>
      <c r="AJ7" s="46"/>
      <c r="AK7" s="46"/>
      <c r="AL7" s="46"/>
      <c r="AM7" s="46"/>
      <c r="AN7" s="46"/>
      <c r="AO7" s="46"/>
      <c r="AP7" s="46"/>
      <c r="AQ7" s="46"/>
    </row>
    <row r="8" spans="2:43" ht="15.75" customHeight="1" x14ac:dyDescent="0.25">
      <c r="B8" s="41">
        <v>5</v>
      </c>
      <c r="C8" s="42" t="str">
        <f>DATA_GURU!C7&amp;" ["&amp;DATA_GURU!D7&amp;"]"</f>
        <v>Klidia Nurwulan, S.Pd [B. Indonesia]</v>
      </c>
      <c r="D8" s="43"/>
      <c r="E8" s="43" t="s">
        <v>17</v>
      </c>
      <c r="F8" s="43" t="s">
        <v>17</v>
      </c>
      <c r="G8" s="43" t="s">
        <v>70</v>
      </c>
      <c r="H8" s="43" t="s">
        <v>71</v>
      </c>
      <c r="I8" s="43" t="s">
        <v>12</v>
      </c>
      <c r="J8" s="43" t="s">
        <v>12</v>
      </c>
      <c r="K8" s="43"/>
      <c r="L8" s="43" t="s">
        <v>12</v>
      </c>
      <c r="M8" s="43" t="s">
        <v>12</v>
      </c>
      <c r="N8" s="43" t="s">
        <v>70</v>
      </c>
      <c r="O8" s="43" t="s">
        <v>71</v>
      </c>
      <c r="P8" s="43" t="s">
        <v>12</v>
      </c>
      <c r="Q8" s="43" t="s">
        <v>12</v>
      </c>
      <c r="R8" s="43"/>
      <c r="S8" s="43" t="s">
        <v>12</v>
      </c>
      <c r="T8" s="43" t="s">
        <v>12</v>
      </c>
      <c r="U8" s="43" t="s">
        <v>70</v>
      </c>
      <c r="V8" s="43" t="s">
        <v>71</v>
      </c>
      <c r="W8" s="43" t="s">
        <v>12</v>
      </c>
      <c r="X8" s="43" t="s">
        <v>12</v>
      </c>
      <c r="Y8" s="43"/>
      <c r="Z8" s="43" t="s">
        <v>12</v>
      </c>
      <c r="AA8" s="43" t="s">
        <v>12</v>
      </c>
      <c r="AB8" s="43" t="s">
        <v>70</v>
      </c>
      <c r="AC8" s="43" t="s">
        <v>71</v>
      </c>
      <c r="AD8" s="43" t="s">
        <v>12</v>
      </c>
      <c r="AE8" s="43" t="s">
        <v>12</v>
      </c>
      <c r="AF8" s="43"/>
      <c r="AG8" s="43" t="s">
        <v>12</v>
      </c>
      <c r="AH8" s="43" t="s">
        <v>12</v>
      </c>
      <c r="AI8" s="43"/>
      <c r="AJ8" s="43"/>
      <c r="AK8" s="43"/>
      <c r="AL8" s="43"/>
      <c r="AM8" s="43"/>
      <c r="AN8" s="43"/>
      <c r="AO8" s="43"/>
      <c r="AP8" s="43"/>
      <c r="AQ8" s="43"/>
    </row>
    <row r="9" spans="2:43" ht="15.75" customHeight="1" x14ac:dyDescent="0.25">
      <c r="B9" s="44">
        <v>6</v>
      </c>
      <c r="C9" s="45" t="str">
        <f>DATA_GURU!C8&amp;" ["&amp;DATA_GURU!D8&amp;"]"</f>
        <v>Putri Megawati, S.Pd [PJOK]</v>
      </c>
      <c r="D9" s="46" t="s">
        <v>17</v>
      </c>
      <c r="E9" s="46"/>
      <c r="F9" s="43" t="s">
        <v>17</v>
      </c>
      <c r="G9" s="43" t="s">
        <v>70</v>
      </c>
      <c r="H9" s="46" t="s">
        <v>71</v>
      </c>
      <c r="I9" s="46"/>
      <c r="J9" s="46" t="s">
        <v>12</v>
      </c>
      <c r="K9" s="46" t="s">
        <v>12</v>
      </c>
      <c r="L9" s="46"/>
      <c r="M9" s="46" t="s">
        <v>12</v>
      </c>
      <c r="N9" s="43" t="s">
        <v>70</v>
      </c>
      <c r="O9" s="46" t="s">
        <v>71</v>
      </c>
      <c r="P9" s="46"/>
      <c r="Q9" s="46" t="s">
        <v>12</v>
      </c>
      <c r="R9" s="46" t="s">
        <v>12</v>
      </c>
      <c r="S9" s="46"/>
      <c r="T9" s="46" t="s">
        <v>12</v>
      </c>
      <c r="U9" s="43" t="s">
        <v>70</v>
      </c>
      <c r="V9" s="46" t="s">
        <v>71</v>
      </c>
      <c r="W9" s="46"/>
      <c r="X9" s="46" t="s">
        <v>12</v>
      </c>
      <c r="Y9" s="46" t="s">
        <v>12</v>
      </c>
      <c r="Z9" s="46"/>
      <c r="AA9" s="46" t="s">
        <v>12</v>
      </c>
      <c r="AB9" s="43" t="s">
        <v>70</v>
      </c>
      <c r="AC9" s="46" t="s">
        <v>71</v>
      </c>
      <c r="AD9" s="46"/>
      <c r="AE9" s="46" t="s">
        <v>12</v>
      </c>
      <c r="AF9" s="46" t="s">
        <v>12</v>
      </c>
      <c r="AG9" s="46"/>
      <c r="AH9" s="46" t="s">
        <v>12</v>
      </c>
      <c r="AI9" s="46"/>
      <c r="AJ9" s="46"/>
      <c r="AK9" s="46"/>
      <c r="AL9" s="46"/>
      <c r="AM9" s="46"/>
      <c r="AN9" s="46"/>
      <c r="AO9" s="46"/>
      <c r="AP9" s="46"/>
      <c r="AQ9" s="46"/>
    </row>
    <row r="10" spans="2:43" ht="15.75" customHeight="1" x14ac:dyDescent="0.25">
      <c r="B10" s="41">
        <v>7</v>
      </c>
      <c r="C10" s="42" t="str">
        <f>DATA_GURU!C9&amp;" ["&amp;DATA_GURU!D9&amp;"]"</f>
        <v>Dani Ramdhani, S.Pd [B. Inggris]</v>
      </c>
      <c r="D10" s="43" t="s">
        <v>17</v>
      </c>
      <c r="E10" s="43"/>
      <c r="F10" s="43" t="s">
        <v>17</v>
      </c>
      <c r="G10" s="43" t="s">
        <v>70</v>
      </c>
      <c r="H10" s="43" t="s">
        <v>71</v>
      </c>
      <c r="I10" s="43"/>
      <c r="J10" s="43" t="s">
        <v>12</v>
      </c>
      <c r="K10" s="43" t="s">
        <v>12</v>
      </c>
      <c r="L10" s="43"/>
      <c r="M10" s="43" t="s">
        <v>12</v>
      </c>
      <c r="N10" s="43" t="s">
        <v>70</v>
      </c>
      <c r="O10" s="43" t="s">
        <v>71</v>
      </c>
      <c r="P10" s="43"/>
      <c r="Q10" s="43" t="s">
        <v>12</v>
      </c>
      <c r="R10" s="43" t="s">
        <v>12</v>
      </c>
      <c r="S10" s="43"/>
      <c r="T10" s="43" t="s">
        <v>12</v>
      </c>
      <c r="U10" s="43" t="s">
        <v>70</v>
      </c>
      <c r="V10" s="43" t="s">
        <v>71</v>
      </c>
      <c r="W10" s="43"/>
      <c r="X10" s="43" t="s">
        <v>12</v>
      </c>
      <c r="Y10" s="43" t="s">
        <v>12</v>
      </c>
      <c r="Z10" s="43"/>
      <c r="AA10" s="43" t="s">
        <v>12</v>
      </c>
      <c r="AB10" s="43" t="s">
        <v>70</v>
      </c>
      <c r="AC10" s="43" t="s">
        <v>71</v>
      </c>
      <c r="AD10" s="43"/>
      <c r="AE10" s="43" t="s">
        <v>12</v>
      </c>
      <c r="AF10" s="43" t="s">
        <v>12</v>
      </c>
      <c r="AG10" s="43"/>
      <c r="AH10" s="43" t="s">
        <v>12</v>
      </c>
      <c r="AI10" s="43"/>
      <c r="AJ10" s="43"/>
      <c r="AK10" s="43"/>
      <c r="AL10" s="43"/>
      <c r="AM10" s="43"/>
      <c r="AN10" s="43"/>
      <c r="AO10" s="43"/>
      <c r="AP10" s="43"/>
      <c r="AQ10" s="43"/>
    </row>
    <row r="11" spans="2:43" ht="15.75" customHeight="1" x14ac:dyDescent="0.25">
      <c r="B11" s="44">
        <v>8</v>
      </c>
      <c r="C11" s="45" t="str">
        <f>DATA_GURU!C10&amp;" ["&amp;DATA_GURU!D10&amp;"]"</f>
        <v>Shafa Padilah S. S.Pd [B. Indonesia]</v>
      </c>
      <c r="D11" s="43" t="s">
        <v>17</v>
      </c>
      <c r="E11" s="46"/>
      <c r="F11" s="43" t="s">
        <v>17</v>
      </c>
      <c r="G11" s="43" t="s">
        <v>70</v>
      </c>
      <c r="H11" s="46" t="s">
        <v>71</v>
      </c>
      <c r="I11" s="46" t="s">
        <v>12</v>
      </c>
      <c r="J11" s="46" t="s">
        <v>12</v>
      </c>
      <c r="K11" s="46" t="s">
        <v>12</v>
      </c>
      <c r="L11" s="46"/>
      <c r="M11" s="46" t="s">
        <v>12</v>
      </c>
      <c r="N11" s="43" t="s">
        <v>70</v>
      </c>
      <c r="O11" s="46" t="s">
        <v>71</v>
      </c>
      <c r="P11" s="46" t="s">
        <v>12</v>
      </c>
      <c r="Q11" s="46" t="s">
        <v>12</v>
      </c>
      <c r="R11" s="46" t="s">
        <v>12</v>
      </c>
      <c r="S11" s="46"/>
      <c r="T11" s="46" t="s">
        <v>12</v>
      </c>
      <c r="U11" s="43" t="s">
        <v>70</v>
      </c>
      <c r="V11" s="46" t="s">
        <v>71</v>
      </c>
      <c r="W11" s="46" t="s">
        <v>12</v>
      </c>
      <c r="X11" s="46" t="s">
        <v>12</v>
      </c>
      <c r="Y11" s="46" t="s">
        <v>12</v>
      </c>
      <c r="Z11" s="46"/>
      <c r="AA11" s="46" t="s">
        <v>12</v>
      </c>
      <c r="AB11" s="43" t="s">
        <v>70</v>
      </c>
      <c r="AC11" s="46" t="s">
        <v>71</v>
      </c>
      <c r="AD11" s="46" t="s">
        <v>12</v>
      </c>
      <c r="AE11" s="46" t="s">
        <v>12</v>
      </c>
      <c r="AF11" s="46" t="s">
        <v>12</v>
      </c>
      <c r="AG11" s="46"/>
      <c r="AH11" s="46" t="s">
        <v>12</v>
      </c>
      <c r="AI11" s="46"/>
      <c r="AJ11" s="46"/>
      <c r="AK11" s="46"/>
      <c r="AL11" s="46"/>
      <c r="AM11" s="46"/>
      <c r="AN11" s="46"/>
      <c r="AO11" s="46"/>
      <c r="AP11" s="46"/>
      <c r="AQ11" s="46"/>
    </row>
    <row r="12" spans="2:43" ht="15.75" customHeight="1" x14ac:dyDescent="0.25">
      <c r="B12" s="41">
        <v>9</v>
      </c>
      <c r="C12" s="42" t="str">
        <f>DATA_GURU!C11&amp;" ["&amp;DATA_GURU!D11&amp;"]"</f>
        <v>Imam Hasbulloh, S.Pd [Matematika]</v>
      </c>
      <c r="D12" s="43" t="s">
        <v>17</v>
      </c>
      <c r="E12" s="43" t="s">
        <v>17</v>
      </c>
      <c r="F12" s="43" t="s">
        <v>17</v>
      </c>
      <c r="G12" s="43" t="s">
        <v>70</v>
      </c>
      <c r="H12" s="43" t="s">
        <v>71</v>
      </c>
      <c r="I12" s="43" t="s">
        <v>12</v>
      </c>
      <c r="J12" s="43" t="s">
        <v>12</v>
      </c>
      <c r="K12" s="43" t="s">
        <v>12</v>
      </c>
      <c r="L12" s="43" t="s">
        <v>12</v>
      </c>
      <c r="M12" s="43" t="s">
        <v>12</v>
      </c>
      <c r="N12" s="43" t="s">
        <v>70</v>
      </c>
      <c r="O12" s="43" t="s">
        <v>71</v>
      </c>
      <c r="P12" s="43" t="s">
        <v>12</v>
      </c>
      <c r="Q12" s="43" t="s">
        <v>12</v>
      </c>
      <c r="R12" s="43" t="s">
        <v>12</v>
      </c>
      <c r="S12" s="43" t="s">
        <v>12</v>
      </c>
      <c r="T12" s="43" t="s">
        <v>12</v>
      </c>
      <c r="U12" s="43" t="s">
        <v>70</v>
      </c>
      <c r="V12" s="43" t="s">
        <v>71</v>
      </c>
      <c r="W12" s="43" t="s">
        <v>12</v>
      </c>
      <c r="X12" s="43" t="s">
        <v>12</v>
      </c>
      <c r="Y12" s="43" t="s">
        <v>12</v>
      </c>
      <c r="Z12" s="43" t="s">
        <v>12</v>
      </c>
      <c r="AA12" s="43" t="s">
        <v>12</v>
      </c>
      <c r="AB12" s="43" t="s">
        <v>70</v>
      </c>
      <c r="AC12" s="43" t="s">
        <v>71</v>
      </c>
      <c r="AD12" s="43" t="s">
        <v>12</v>
      </c>
      <c r="AE12" s="43" t="s">
        <v>12</v>
      </c>
      <c r="AF12" s="43" t="s">
        <v>12</v>
      </c>
      <c r="AG12" s="43" t="s">
        <v>12</v>
      </c>
      <c r="AH12" s="43" t="s">
        <v>12</v>
      </c>
      <c r="AI12" s="43"/>
      <c r="AJ12" s="43"/>
      <c r="AK12" s="43"/>
      <c r="AL12" s="43"/>
      <c r="AM12" s="43"/>
      <c r="AN12" s="43"/>
      <c r="AO12" s="43"/>
      <c r="AP12" s="43"/>
      <c r="AQ12" s="43"/>
    </row>
    <row r="13" spans="2:43" ht="15.75" customHeight="1" x14ac:dyDescent="0.25">
      <c r="B13" s="44">
        <v>10</v>
      </c>
      <c r="C13" s="45" t="str">
        <f>DATA_GURU!C12&amp;" ["&amp;DATA_GURU!D12&amp;"]"</f>
        <v>Muhamad Aldiansyah [B. Inggris]</v>
      </c>
      <c r="D13" s="43" t="s">
        <v>17</v>
      </c>
      <c r="E13" s="43" t="s">
        <v>17</v>
      </c>
      <c r="F13" s="46"/>
      <c r="G13" s="43" t="s">
        <v>70</v>
      </c>
      <c r="H13" s="46" t="s">
        <v>71</v>
      </c>
      <c r="I13" s="46" t="s">
        <v>12</v>
      </c>
      <c r="J13" s="46" t="s">
        <v>12</v>
      </c>
      <c r="K13" s="46" t="s">
        <v>12</v>
      </c>
      <c r="L13" s="46" t="s">
        <v>12</v>
      </c>
      <c r="M13" s="46"/>
      <c r="N13" s="43" t="s">
        <v>70</v>
      </c>
      <c r="O13" s="46" t="s">
        <v>71</v>
      </c>
      <c r="P13" s="46" t="s">
        <v>12</v>
      </c>
      <c r="Q13" s="46" t="s">
        <v>12</v>
      </c>
      <c r="R13" s="46" t="s">
        <v>12</v>
      </c>
      <c r="S13" s="46" t="s">
        <v>12</v>
      </c>
      <c r="T13" s="46"/>
      <c r="U13" s="43" t="s">
        <v>70</v>
      </c>
      <c r="V13" s="46" t="s">
        <v>71</v>
      </c>
      <c r="W13" s="46" t="s">
        <v>12</v>
      </c>
      <c r="X13" s="46" t="s">
        <v>12</v>
      </c>
      <c r="Y13" s="46" t="s">
        <v>12</v>
      </c>
      <c r="Z13" s="46" t="s">
        <v>12</v>
      </c>
      <c r="AA13" s="46"/>
      <c r="AB13" s="43" t="s">
        <v>70</v>
      </c>
      <c r="AC13" s="46" t="s">
        <v>71</v>
      </c>
      <c r="AD13" s="46" t="s">
        <v>12</v>
      </c>
      <c r="AE13" s="46" t="s">
        <v>12</v>
      </c>
      <c r="AF13" s="46" t="s">
        <v>12</v>
      </c>
      <c r="AG13" s="46" t="s">
        <v>12</v>
      </c>
      <c r="AH13" s="46"/>
      <c r="AI13" s="46"/>
      <c r="AJ13" s="46"/>
      <c r="AK13" s="46"/>
      <c r="AL13" s="46"/>
      <c r="AM13" s="46"/>
      <c r="AN13" s="46"/>
      <c r="AO13" s="46"/>
      <c r="AP13" s="46"/>
      <c r="AQ13" s="46"/>
    </row>
    <row r="14" spans="2:43" ht="15.75" customHeight="1" x14ac:dyDescent="0.25">
      <c r="B14" s="41">
        <v>11</v>
      </c>
      <c r="C14" s="42" t="str">
        <f>DATA_GURU!C13&amp;" ["&amp;DATA_GURU!D13&amp;"]"</f>
        <v>M. Fadilah Abdurahman [Seni Budaya]</v>
      </c>
      <c r="D14" s="43" t="s">
        <v>17</v>
      </c>
      <c r="E14" s="43" t="s">
        <v>17</v>
      </c>
      <c r="F14" s="43" t="s">
        <v>17</v>
      </c>
      <c r="G14" s="43" t="s">
        <v>70</v>
      </c>
      <c r="H14" s="43" t="s">
        <v>71</v>
      </c>
      <c r="I14" s="43"/>
      <c r="J14" s="43" t="s">
        <v>12</v>
      </c>
      <c r="K14" s="43" t="s">
        <v>12</v>
      </c>
      <c r="L14" s="43" t="s">
        <v>12</v>
      </c>
      <c r="M14" s="43" t="s">
        <v>12</v>
      </c>
      <c r="N14" s="43" t="s">
        <v>70</v>
      </c>
      <c r="O14" s="43" t="s">
        <v>71</v>
      </c>
      <c r="P14" s="43"/>
      <c r="Q14" s="43" t="s">
        <v>12</v>
      </c>
      <c r="R14" s="43" t="s">
        <v>12</v>
      </c>
      <c r="S14" s="43" t="s">
        <v>12</v>
      </c>
      <c r="T14" s="43" t="s">
        <v>12</v>
      </c>
      <c r="U14" s="43" t="s">
        <v>70</v>
      </c>
      <c r="V14" s="43" t="s">
        <v>71</v>
      </c>
      <c r="W14" s="43"/>
      <c r="X14" s="43" t="s">
        <v>12</v>
      </c>
      <c r="Y14" s="43" t="s">
        <v>12</v>
      </c>
      <c r="Z14" s="43" t="s">
        <v>12</v>
      </c>
      <c r="AA14" s="43" t="s">
        <v>12</v>
      </c>
      <c r="AB14" s="43" t="s">
        <v>70</v>
      </c>
      <c r="AC14" s="43" t="s">
        <v>71</v>
      </c>
      <c r="AD14" s="43"/>
      <c r="AE14" s="43" t="s">
        <v>12</v>
      </c>
      <c r="AF14" s="43" t="s">
        <v>12</v>
      </c>
      <c r="AG14" s="43" t="s">
        <v>12</v>
      </c>
      <c r="AH14" s="43" t="s">
        <v>12</v>
      </c>
      <c r="AI14" s="43"/>
      <c r="AJ14" s="43"/>
      <c r="AK14" s="43"/>
      <c r="AL14" s="43"/>
      <c r="AM14" s="43"/>
      <c r="AN14" s="43"/>
      <c r="AO14" s="43"/>
      <c r="AP14" s="43"/>
      <c r="AQ14" s="43"/>
    </row>
    <row r="15" spans="2:43" ht="15.75" customHeight="1" x14ac:dyDescent="0.25">
      <c r="B15" s="44">
        <v>12</v>
      </c>
      <c r="C15" s="45" t="str">
        <f>DATA_GURU!C14&amp;" ["&amp;DATA_GURU!D14&amp;"]"</f>
        <v>Ahmad Yusup [TIK]</v>
      </c>
      <c r="D15" s="43" t="s">
        <v>17</v>
      </c>
      <c r="E15" s="43" t="s">
        <v>17</v>
      </c>
      <c r="F15" s="43" t="s">
        <v>17</v>
      </c>
      <c r="G15" s="43" t="s">
        <v>70</v>
      </c>
      <c r="H15" s="46" t="s">
        <v>71</v>
      </c>
      <c r="I15" s="46" t="s">
        <v>12</v>
      </c>
      <c r="J15" s="46"/>
      <c r="K15" s="46" t="s">
        <v>12</v>
      </c>
      <c r="L15" s="46" t="s">
        <v>12</v>
      </c>
      <c r="M15" s="46" t="s">
        <v>12</v>
      </c>
      <c r="N15" s="43" t="s">
        <v>70</v>
      </c>
      <c r="O15" s="46" t="s">
        <v>71</v>
      </c>
      <c r="P15" s="46" t="s">
        <v>12</v>
      </c>
      <c r="Q15" s="46"/>
      <c r="R15" s="46" t="s">
        <v>12</v>
      </c>
      <c r="S15" s="46" t="s">
        <v>12</v>
      </c>
      <c r="T15" s="46" t="s">
        <v>12</v>
      </c>
      <c r="U15" s="43" t="s">
        <v>70</v>
      </c>
      <c r="V15" s="46" t="s">
        <v>71</v>
      </c>
      <c r="W15" s="46" t="s">
        <v>12</v>
      </c>
      <c r="X15" s="46"/>
      <c r="Y15" s="46" t="s">
        <v>12</v>
      </c>
      <c r="Z15" s="46" t="s">
        <v>12</v>
      </c>
      <c r="AA15" s="46" t="s">
        <v>12</v>
      </c>
      <c r="AB15" s="43" t="s">
        <v>70</v>
      </c>
      <c r="AC15" s="46" t="s">
        <v>71</v>
      </c>
      <c r="AD15" s="46" t="s">
        <v>12</v>
      </c>
      <c r="AE15" s="46"/>
      <c r="AF15" s="46" t="s">
        <v>12</v>
      </c>
      <c r="AG15" s="46" t="s">
        <v>12</v>
      </c>
      <c r="AH15" s="46" t="s">
        <v>12</v>
      </c>
      <c r="AI15" s="46"/>
      <c r="AJ15" s="46"/>
      <c r="AK15" s="46"/>
      <c r="AL15" s="46"/>
      <c r="AM15" s="46"/>
      <c r="AN15" s="46"/>
      <c r="AO15" s="46"/>
      <c r="AP15" s="46"/>
      <c r="AQ15" s="46"/>
    </row>
    <row r="16" spans="2:43" ht="15.75" customHeight="1" x14ac:dyDescent="0.25">
      <c r="B16" s="41">
        <v>13</v>
      </c>
      <c r="C16" s="42" t="str">
        <f>DATA_GURU!C15&amp;" ["&amp;DATA_GURU!D15&amp;"]"</f>
        <v>Ai Rabiah Nur Syabani, S.Hum., S.Pd [PAI]</v>
      </c>
      <c r="D16" s="43" t="s">
        <v>17</v>
      </c>
      <c r="E16" s="43" t="s">
        <v>17</v>
      </c>
      <c r="F16" s="43" t="s">
        <v>17</v>
      </c>
      <c r="G16" s="43" t="s">
        <v>70</v>
      </c>
      <c r="H16" s="43" t="s">
        <v>71</v>
      </c>
      <c r="I16" s="43"/>
      <c r="J16" s="43" t="s">
        <v>12</v>
      </c>
      <c r="K16" s="43" t="s">
        <v>12</v>
      </c>
      <c r="L16" s="43" t="s">
        <v>12</v>
      </c>
      <c r="M16" s="43" t="s">
        <v>12</v>
      </c>
      <c r="N16" s="43" t="s">
        <v>70</v>
      </c>
      <c r="O16" s="43" t="s">
        <v>71</v>
      </c>
      <c r="P16" s="43"/>
      <c r="Q16" s="43" t="s">
        <v>12</v>
      </c>
      <c r="R16" s="43" t="s">
        <v>12</v>
      </c>
      <c r="S16" s="43" t="s">
        <v>12</v>
      </c>
      <c r="T16" s="43" t="s">
        <v>12</v>
      </c>
      <c r="U16" s="43" t="s">
        <v>70</v>
      </c>
      <c r="V16" s="43" t="s">
        <v>71</v>
      </c>
      <c r="W16" s="43"/>
      <c r="X16" s="43" t="s">
        <v>12</v>
      </c>
      <c r="Y16" s="43" t="s">
        <v>12</v>
      </c>
      <c r="Z16" s="43" t="s">
        <v>12</v>
      </c>
      <c r="AA16" s="43" t="s">
        <v>12</v>
      </c>
      <c r="AB16" s="43" t="s">
        <v>70</v>
      </c>
      <c r="AC16" s="43" t="s">
        <v>71</v>
      </c>
      <c r="AD16" s="43"/>
      <c r="AE16" s="43" t="s">
        <v>12</v>
      </c>
      <c r="AF16" s="43" t="s">
        <v>12</v>
      </c>
      <c r="AG16" s="43" t="s">
        <v>12</v>
      </c>
      <c r="AH16" s="43" t="s">
        <v>12</v>
      </c>
      <c r="AI16" s="43"/>
      <c r="AJ16" s="43"/>
      <c r="AK16" s="43"/>
      <c r="AL16" s="43"/>
      <c r="AM16" s="43"/>
      <c r="AN16" s="43"/>
      <c r="AO16" s="43"/>
      <c r="AP16" s="43"/>
      <c r="AQ16" s="43"/>
    </row>
    <row r="17" spans="2:43" ht="15.75" customHeight="1" x14ac:dyDescent="0.25">
      <c r="B17" s="44">
        <v>14</v>
      </c>
      <c r="C17" s="45" t="str">
        <f>DATA_GURU!C16&amp;" ["&amp;DATA_GURU!D16&amp;"]"</f>
        <v>Deni Sastra Dinata, S.H [IPS]</v>
      </c>
      <c r="D17" s="43" t="s">
        <v>17</v>
      </c>
      <c r="E17" s="43" t="s">
        <v>17</v>
      </c>
      <c r="F17" s="43" t="s">
        <v>17</v>
      </c>
      <c r="G17" s="43" t="s">
        <v>70</v>
      </c>
      <c r="H17" s="46" t="s">
        <v>71</v>
      </c>
      <c r="I17" s="46" t="s">
        <v>12</v>
      </c>
      <c r="J17" s="46" t="s">
        <v>12</v>
      </c>
      <c r="K17" s="46" t="s">
        <v>12</v>
      </c>
      <c r="L17" s="46" t="s">
        <v>12</v>
      </c>
      <c r="M17" s="46" t="s">
        <v>12</v>
      </c>
      <c r="N17" s="43" t="s">
        <v>70</v>
      </c>
      <c r="O17" s="46" t="s">
        <v>71</v>
      </c>
      <c r="P17" s="46" t="s">
        <v>12</v>
      </c>
      <c r="Q17" s="46" t="s">
        <v>12</v>
      </c>
      <c r="R17" s="46" t="s">
        <v>12</v>
      </c>
      <c r="S17" s="46" t="s">
        <v>12</v>
      </c>
      <c r="T17" s="46" t="s">
        <v>12</v>
      </c>
      <c r="U17" s="43" t="s">
        <v>70</v>
      </c>
      <c r="V17" s="46" t="s">
        <v>71</v>
      </c>
      <c r="W17" s="46" t="s">
        <v>12</v>
      </c>
      <c r="X17" s="46" t="s">
        <v>12</v>
      </c>
      <c r="Y17" s="46" t="s">
        <v>12</v>
      </c>
      <c r="Z17" s="46" t="s">
        <v>12</v>
      </c>
      <c r="AA17" s="46" t="s">
        <v>12</v>
      </c>
      <c r="AB17" s="43" t="s">
        <v>70</v>
      </c>
      <c r="AC17" s="46" t="s">
        <v>71</v>
      </c>
      <c r="AD17" s="46" t="s">
        <v>12</v>
      </c>
      <c r="AE17" s="46" t="s">
        <v>12</v>
      </c>
      <c r="AF17" s="46" t="s">
        <v>12</v>
      </c>
      <c r="AG17" s="46" t="s">
        <v>12</v>
      </c>
      <c r="AH17" s="46" t="s">
        <v>12</v>
      </c>
      <c r="AI17" s="46"/>
      <c r="AJ17" s="46"/>
      <c r="AK17" s="46"/>
      <c r="AL17" s="46"/>
      <c r="AM17" s="46"/>
      <c r="AN17" s="46"/>
      <c r="AO17" s="46"/>
      <c r="AP17" s="46"/>
      <c r="AQ17" s="46"/>
    </row>
    <row r="18" spans="2:43" ht="15.75" customHeight="1" x14ac:dyDescent="0.25">
      <c r="B18" s="41">
        <v>15</v>
      </c>
      <c r="C18" s="42" t="str">
        <f>DATA_GURU!C17&amp;" ["&amp;DATA_GURU!D17&amp;"]"</f>
        <v>Tasya Salsabila, S.Pd [IPA - MTK]</v>
      </c>
      <c r="D18" s="43"/>
      <c r="E18" s="43" t="s">
        <v>17</v>
      </c>
      <c r="F18" s="43" t="s">
        <v>17</v>
      </c>
      <c r="G18" s="43" t="s">
        <v>70</v>
      </c>
      <c r="H18" s="43" t="s">
        <v>71</v>
      </c>
      <c r="I18" s="43" t="s">
        <v>12</v>
      </c>
      <c r="J18" s="43" t="s">
        <v>12</v>
      </c>
      <c r="K18" s="43"/>
      <c r="L18" s="43" t="s">
        <v>12</v>
      </c>
      <c r="M18" s="43" t="s">
        <v>12</v>
      </c>
      <c r="N18" s="43" t="s">
        <v>70</v>
      </c>
      <c r="O18" s="43" t="s">
        <v>71</v>
      </c>
      <c r="P18" s="43" t="s">
        <v>12</v>
      </c>
      <c r="Q18" s="43" t="s">
        <v>12</v>
      </c>
      <c r="R18" s="43"/>
      <c r="S18" s="43" t="s">
        <v>12</v>
      </c>
      <c r="T18" s="43" t="s">
        <v>12</v>
      </c>
      <c r="U18" s="43" t="s">
        <v>70</v>
      </c>
      <c r="V18" s="43" t="s">
        <v>71</v>
      </c>
      <c r="W18" s="43" t="s">
        <v>12</v>
      </c>
      <c r="X18" s="43" t="s">
        <v>12</v>
      </c>
      <c r="Y18" s="43"/>
      <c r="Z18" s="43" t="s">
        <v>12</v>
      </c>
      <c r="AA18" s="43" t="s">
        <v>12</v>
      </c>
      <c r="AB18" s="43" t="s">
        <v>70</v>
      </c>
      <c r="AC18" s="43" t="s">
        <v>71</v>
      </c>
      <c r="AD18" s="43" t="s">
        <v>12</v>
      </c>
      <c r="AE18" s="43" t="s">
        <v>12</v>
      </c>
      <c r="AF18" s="43"/>
      <c r="AG18" s="43" t="s">
        <v>12</v>
      </c>
      <c r="AH18" s="43" t="s">
        <v>12</v>
      </c>
      <c r="AI18" s="43"/>
      <c r="AJ18" s="43"/>
      <c r="AK18" s="43"/>
      <c r="AL18" s="43"/>
      <c r="AM18" s="43"/>
      <c r="AN18" s="43"/>
      <c r="AO18" s="43"/>
      <c r="AP18" s="43"/>
      <c r="AQ18" s="43"/>
    </row>
    <row r="19" spans="2:43" ht="15.75" customHeight="1" x14ac:dyDescent="0.25">
      <c r="B19" s="44">
        <v>16</v>
      </c>
      <c r="C19" s="45" t="str">
        <f>DATA_GURU!C18&amp;" ["&amp;DATA_GURU!D18&amp;"]"</f>
        <v>Nana Fauziah, S.Pd [PAI]</v>
      </c>
      <c r="D19" s="43" t="s">
        <v>17</v>
      </c>
      <c r="E19" s="46"/>
      <c r="F19" s="43" t="s">
        <v>17</v>
      </c>
      <c r="G19" s="43" t="s">
        <v>70</v>
      </c>
      <c r="H19" s="46" t="s">
        <v>71</v>
      </c>
      <c r="I19" s="46" t="s">
        <v>12</v>
      </c>
      <c r="J19" s="46"/>
      <c r="K19" s="46" t="s">
        <v>12</v>
      </c>
      <c r="L19" s="46"/>
      <c r="M19" s="46" t="s">
        <v>12</v>
      </c>
      <c r="N19" s="43" t="s">
        <v>70</v>
      </c>
      <c r="O19" s="46" t="s">
        <v>71</v>
      </c>
      <c r="P19" s="46" t="s">
        <v>12</v>
      </c>
      <c r="Q19" s="46"/>
      <c r="R19" s="46" t="s">
        <v>12</v>
      </c>
      <c r="S19" s="46"/>
      <c r="T19" s="46" t="s">
        <v>12</v>
      </c>
      <c r="U19" s="43" t="s">
        <v>70</v>
      </c>
      <c r="V19" s="46" t="s">
        <v>71</v>
      </c>
      <c r="W19" s="46" t="s">
        <v>12</v>
      </c>
      <c r="X19" s="46"/>
      <c r="Y19" s="46" t="s">
        <v>12</v>
      </c>
      <c r="Z19" s="46"/>
      <c r="AA19" s="46" t="s">
        <v>12</v>
      </c>
      <c r="AB19" s="43" t="s">
        <v>70</v>
      </c>
      <c r="AC19" s="46" t="s">
        <v>71</v>
      </c>
      <c r="AD19" s="46" t="s">
        <v>12</v>
      </c>
      <c r="AE19" s="46"/>
      <c r="AF19" s="46" t="s">
        <v>12</v>
      </c>
      <c r="AG19" s="46"/>
      <c r="AH19" s="46" t="s">
        <v>12</v>
      </c>
      <c r="AI19" s="46"/>
      <c r="AJ19" s="46"/>
      <c r="AK19" s="46"/>
      <c r="AL19" s="46"/>
      <c r="AM19" s="46"/>
      <c r="AN19" s="46"/>
      <c r="AO19" s="46"/>
      <c r="AP19" s="46"/>
      <c r="AQ19" s="46"/>
    </row>
    <row r="20" spans="2:43" ht="15.75" customHeight="1" x14ac:dyDescent="0.25">
      <c r="B20" s="41">
        <v>17</v>
      </c>
      <c r="C20" s="42" t="str">
        <f>DATA_GURU!C19&amp;" ["&amp;DATA_GURU!D19&amp;"]"</f>
        <v>Ajeng Putri Rahayu, S.Pd [B. Sunda]</v>
      </c>
      <c r="D20" s="43" t="s">
        <v>17</v>
      </c>
      <c r="E20" s="43" t="s">
        <v>17</v>
      </c>
      <c r="F20" s="43" t="s">
        <v>17</v>
      </c>
      <c r="G20" s="43" t="s">
        <v>70</v>
      </c>
      <c r="H20" s="43" t="s">
        <v>71</v>
      </c>
      <c r="I20" s="43" t="s">
        <v>12</v>
      </c>
      <c r="J20" s="43"/>
      <c r="K20" s="43" t="s">
        <v>12</v>
      </c>
      <c r="L20" s="43" t="s">
        <v>12</v>
      </c>
      <c r="M20" s="43" t="s">
        <v>12</v>
      </c>
      <c r="N20" s="43" t="s">
        <v>70</v>
      </c>
      <c r="O20" s="43" t="s">
        <v>71</v>
      </c>
      <c r="P20" s="43" t="s">
        <v>12</v>
      </c>
      <c r="Q20" s="43"/>
      <c r="R20" s="43" t="s">
        <v>12</v>
      </c>
      <c r="S20" s="43" t="s">
        <v>12</v>
      </c>
      <c r="T20" s="43" t="s">
        <v>12</v>
      </c>
      <c r="U20" s="43" t="s">
        <v>70</v>
      </c>
      <c r="V20" s="43" t="s">
        <v>71</v>
      </c>
      <c r="W20" s="43" t="s">
        <v>12</v>
      </c>
      <c r="X20" s="43"/>
      <c r="Y20" s="43" t="s">
        <v>12</v>
      </c>
      <c r="Z20" s="43" t="s">
        <v>12</v>
      </c>
      <c r="AA20" s="43" t="s">
        <v>12</v>
      </c>
      <c r="AB20" s="43" t="s">
        <v>70</v>
      </c>
      <c r="AC20" s="43" t="s">
        <v>71</v>
      </c>
      <c r="AD20" s="43" t="s">
        <v>12</v>
      </c>
      <c r="AE20" s="43"/>
      <c r="AF20" s="43" t="s">
        <v>12</v>
      </c>
      <c r="AG20" s="43" t="s">
        <v>12</v>
      </c>
      <c r="AH20" s="43" t="s">
        <v>12</v>
      </c>
      <c r="AI20" s="43"/>
      <c r="AJ20" s="43"/>
      <c r="AK20" s="43"/>
      <c r="AL20" s="43"/>
      <c r="AM20" s="43"/>
      <c r="AN20" s="43"/>
      <c r="AO20" s="43"/>
      <c r="AP20" s="43"/>
      <c r="AQ20" s="43"/>
    </row>
    <row r="21" spans="2:43" ht="15.75" customHeight="1" x14ac:dyDescent="0.25">
      <c r="B21" s="44">
        <v>18</v>
      </c>
      <c r="C21" s="45" t="str">
        <f>DATA_GURU!C20&amp;" ["&amp;DATA_GURU!D20&amp;"]"</f>
        <v>Febri Nugraha, S.Hum [IPS]</v>
      </c>
      <c r="D21" s="43" t="s">
        <v>17</v>
      </c>
      <c r="E21" s="43" t="s">
        <v>17</v>
      </c>
      <c r="F21" s="43" t="s">
        <v>17</v>
      </c>
      <c r="G21" s="43" t="s">
        <v>70</v>
      </c>
      <c r="H21" s="46" t="s">
        <v>71</v>
      </c>
      <c r="I21" s="46" t="s">
        <v>12</v>
      </c>
      <c r="J21" s="46"/>
      <c r="K21" s="46" t="s">
        <v>12</v>
      </c>
      <c r="L21" s="46" t="s">
        <v>12</v>
      </c>
      <c r="M21" s="46" t="s">
        <v>12</v>
      </c>
      <c r="N21" s="43" t="s">
        <v>70</v>
      </c>
      <c r="O21" s="46" t="s">
        <v>71</v>
      </c>
      <c r="P21" s="46" t="s">
        <v>12</v>
      </c>
      <c r="Q21" s="46"/>
      <c r="R21" s="46" t="s">
        <v>12</v>
      </c>
      <c r="S21" s="46" t="s">
        <v>12</v>
      </c>
      <c r="T21" s="46" t="s">
        <v>12</v>
      </c>
      <c r="U21" s="43" t="s">
        <v>70</v>
      </c>
      <c r="V21" s="46" t="s">
        <v>71</v>
      </c>
      <c r="W21" s="46" t="s">
        <v>12</v>
      </c>
      <c r="X21" s="46"/>
      <c r="Y21" s="46" t="s">
        <v>12</v>
      </c>
      <c r="Z21" s="46" t="s">
        <v>12</v>
      </c>
      <c r="AA21" s="46" t="s">
        <v>12</v>
      </c>
      <c r="AB21" s="43" t="s">
        <v>70</v>
      </c>
      <c r="AC21" s="46" t="s">
        <v>71</v>
      </c>
      <c r="AD21" s="46" t="s">
        <v>12</v>
      </c>
      <c r="AE21" s="46"/>
      <c r="AF21" s="46" t="s">
        <v>12</v>
      </c>
      <c r="AG21" s="46" t="s">
        <v>12</v>
      </c>
      <c r="AH21" s="46" t="s">
        <v>12</v>
      </c>
      <c r="AI21" s="46"/>
      <c r="AJ21" s="46"/>
      <c r="AK21" s="46"/>
      <c r="AL21" s="46"/>
      <c r="AM21" s="46"/>
      <c r="AN21" s="46"/>
      <c r="AO21" s="46"/>
      <c r="AP21" s="46"/>
      <c r="AQ21" s="46"/>
    </row>
    <row r="22" spans="2:43" ht="15.75" customHeight="1" x14ac:dyDescent="0.25">
      <c r="B22" s="41">
        <v>19</v>
      </c>
      <c r="C22" s="42" t="str">
        <f>DATA_GURU!C21&amp;" ["&amp;DATA_GURU!D21&amp;"]"</f>
        <v>Dadang Try Subekti, S.Pd [IPA]</v>
      </c>
      <c r="D22" s="43" t="s">
        <v>17</v>
      </c>
      <c r="E22" s="43" t="s">
        <v>17</v>
      </c>
      <c r="F22" s="43" t="s">
        <v>17</v>
      </c>
      <c r="G22" s="43" t="s">
        <v>70</v>
      </c>
      <c r="H22" s="43" t="s">
        <v>71</v>
      </c>
      <c r="I22" s="43"/>
      <c r="J22" s="43" t="s">
        <v>12</v>
      </c>
      <c r="K22" s="43" t="s">
        <v>12</v>
      </c>
      <c r="L22" s="43" t="s">
        <v>12</v>
      </c>
      <c r="M22" s="43" t="s">
        <v>12</v>
      </c>
      <c r="N22" s="43" t="s">
        <v>70</v>
      </c>
      <c r="O22" s="43" t="s">
        <v>71</v>
      </c>
      <c r="P22" s="43"/>
      <c r="Q22" s="43" t="s">
        <v>12</v>
      </c>
      <c r="R22" s="43" t="s">
        <v>12</v>
      </c>
      <c r="S22" s="43" t="s">
        <v>12</v>
      </c>
      <c r="T22" s="43" t="s">
        <v>12</v>
      </c>
      <c r="U22" s="43" t="s">
        <v>70</v>
      </c>
      <c r="V22" s="43" t="s">
        <v>71</v>
      </c>
      <c r="W22" s="43"/>
      <c r="X22" s="43" t="s">
        <v>12</v>
      </c>
      <c r="Y22" s="43" t="s">
        <v>12</v>
      </c>
      <c r="Z22" s="43" t="s">
        <v>12</v>
      </c>
      <c r="AA22" s="43" t="s">
        <v>12</v>
      </c>
      <c r="AB22" s="43" t="s">
        <v>70</v>
      </c>
      <c r="AC22" s="43" t="s">
        <v>71</v>
      </c>
      <c r="AD22" s="43"/>
      <c r="AE22" s="43" t="s">
        <v>12</v>
      </c>
      <c r="AF22" s="43" t="s">
        <v>12</v>
      </c>
      <c r="AG22" s="43" t="s">
        <v>12</v>
      </c>
      <c r="AH22" s="43" t="s">
        <v>12</v>
      </c>
      <c r="AI22" s="43"/>
      <c r="AJ22" s="43"/>
      <c r="AK22" s="43"/>
      <c r="AL22" s="43"/>
      <c r="AM22" s="43"/>
      <c r="AN22" s="43"/>
      <c r="AO22" s="43"/>
      <c r="AP22" s="43"/>
      <c r="AQ22" s="43"/>
    </row>
    <row r="23" spans="2:43" ht="15.75" customHeight="1" x14ac:dyDescent="0.25">
      <c r="B23" s="44">
        <v>20</v>
      </c>
      <c r="C23" s="45" t="str">
        <f>DATA_GURU!C22&amp;" ["&amp;DATA_GURU!D22&amp;"]"</f>
        <v>Abdullah Nurrachman Soleh, S.Pd [PJOK]</v>
      </c>
      <c r="D23" s="46"/>
      <c r="E23" s="43" t="s">
        <v>17</v>
      </c>
      <c r="F23" s="43" t="s">
        <v>17</v>
      </c>
      <c r="G23" s="43" t="s">
        <v>70</v>
      </c>
      <c r="H23" s="46" t="s">
        <v>71</v>
      </c>
      <c r="I23" s="46" t="s">
        <v>12</v>
      </c>
      <c r="J23" s="46" t="s">
        <v>12</v>
      </c>
      <c r="K23" s="46"/>
      <c r="L23" s="46" t="s">
        <v>12</v>
      </c>
      <c r="M23" s="46" t="s">
        <v>12</v>
      </c>
      <c r="N23" s="43" t="s">
        <v>70</v>
      </c>
      <c r="O23" s="46" t="s">
        <v>71</v>
      </c>
      <c r="P23" s="46" t="s">
        <v>12</v>
      </c>
      <c r="Q23" s="46" t="s">
        <v>12</v>
      </c>
      <c r="R23" s="46"/>
      <c r="S23" s="46" t="s">
        <v>12</v>
      </c>
      <c r="T23" s="46" t="s">
        <v>12</v>
      </c>
      <c r="U23" s="43" t="s">
        <v>70</v>
      </c>
      <c r="V23" s="46" t="s">
        <v>71</v>
      </c>
      <c r="W23" s="46" t="s">
        <v>12</v>
      </c>
      <c r="X23" s="46" t="s">
        <v>12</v>
      </c>
      <c r="Y23" s="46"/>
      <c r="Z23" s="46" t="s">
        <v>12</v>
      </c>
      <c r="AA23" s="46" t="s">
        <v>12</v>
      </c>
      <c r="AB23" s="43" t="s">
        <v>70</v>
      </c>
      <c r="AC23" s="46" t="s">
        <v>71</v>
      </c>
      <c r="AD23" s="46" t="s">
        <v>12</v>
      </c>
      <c r="AE23" s="46" t="s">
        <v>12</v>
      </c>
      <c r="AF23" s="46"/>
      <c r="AG23" s="46" t="s">
        <v>12</v>
      </c>
      <c r="AH23" s="46" t="s">
        <v>12</v>
      </c>
      <c r="AI23" s="46"/>
      <c r="AJ23" s="46"/>
      <c r="AK23" s="46"/>
      <c r="AL23" s="46"/>
      <c r="AM23" s="46"/>
      <c r="AN23" s="46"/>
      <c r="AO23" s="46"/>
      <c r="AP23" s="46"/>
      <c r="AQ23" s="46"/>
    </row>
  </sheetData>
  <mergeCells count="1">
    <mergeCell ref="B1:AQ1"/>
  </mergeCells>
  <conditionalFormatting sqref="D4:AQ23">
    <cfRule type="cellIs" dxfId="17" priority="3" operator="equal">
      <formula>"Mengajar"</formula>
    </cfRule>
    <cfRule type="cellIs" dxfId="16" priority="4" operator="equal">
      <formula>"Sakit"</formula>
    </cfRule>
    <cfRule type="cellIs" dxfId="15" priority="5" operator="equal">
      <formula>"Izin"</formula>
    </cfRule>
    <cfRule type="cellIs" dxfId="14" priority="6" operator="equal">
      <formula>"Dinas Keluar Sekolah"</formula>
    </cfRule>
    <cfRule type="cellIs" dxfId="13" priority="7" operator="equal">
      <formula>"Tanpa Keterangan"</formula>
    </cfRule>
    <cfRule type="cellIs" dxfId="12" priority="8" operator="equal">
      <formula>"Libur Tanggal Merah"</formula>
    </cfRule>
    <cfRule type="cellIs" dxfId="11" priority="9" operator="equal">
      <formula>"Libur"</formula>
    </cfRule>
    <cfRule type="cellIs" dxfId="10" priority="10" operator="equal">
      <formula>"MINGGU"</formula>
    </cfRule>
    <cfRule type="expression" dxfId="9" priority="11">
      <formula>D$2=""</formula>
    </cfRule>
    <cfRule type="expression" dxfId="8" priority="12">
      <formula>D$3="Minggu"</formula>
    </cfRule>
  </conditionalFormatting>
  <conditionalFormatting sqref="D3:AH3">
    <cfRule type="cellIs" dxfId="7" priority="1" operator="equal">
      <formula>"minggu"</formula>
    </cfRule>
  </conditionalFormatting>
  <dataValidations count="1">
    <dataValidation type="list" allowBlank="1" showErrorMessage="1" errorTitle="Input Tidak Valid" error="Pilih status dari dropdown." sqref="D4:AQ23" xr:uid="{00000000-0002-0000-0300-000000000000}">
      <formula1>"Mengajar,Sakit,Izin,Dinas Keluar Sekolah,Tanpa Keterangan,Libur Tanggal Merah,Libur"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Q36"/>
  <sheetViews>
    <sheetView showGridLines="0"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H24" sqref="H24"/>
    </sheetView>
  </sheetViews>
  <sheetFormatPr defaultColWidth="8.7109375" defaultRowHeight="15" x14ac:dyDescent="0.25"/>
  <cols>
    <col min="1" max="1" width="3" style="16" customWidth="1"/>
    <col min="2" max="2" width="5" style="16" customWidth="1"/>
    <col min="3" max="3" width="34" style="16" customWidth="1"/>
    <col min="4" max="4" width="18" style="16" customWidth="1"/>
    <col min="5" max="5" width="13" style="16" customWidth="1"/>
    <col min="6" max="6" width="12.7109375" style="16" customWidth="1"/>
    <col min="7" max="8" width="8.7109375" style="16" customWidth="1"/>
    <col min="9" max="9" width="9.85546875" style="16" customWidth="1"/>
    <col min="10" max="10" width="12" style="16" customWidth="1"/>
    <col min="11" max="13" width="8.7109375" style="16" customWidth="1"/>
    <col min="14" max="14" width="10.140625" style="16" customWidth="1"/>
    <col min="15" max="16" width="12" style="16" customWidth="1"/>
    <col min="17" max="18" width="3" style="16" customWidth="1"/>
    <col min="19" max="19" width="8.7109375" style="16" customWidth="1"/>
    <col min="20" max="16384" width="8.7109375" style="16"/>
  </cols>
  <sheetData>
    <row r="1" spans="2:17" ht="30" customHeight="1" x14ac:dyDescent="0.25">
      <c r="B1" s="76" t="s">
        <v>72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56"/>
    </row>
    <row r="2" spans="2:17" ht="24" customHeight="1" x14ac:dyDescent="0.25">
      <c r="B2" s="89" t="str">
        <f>"PERIODE  "&amp;TEXT(CONFIG!C4,"DD MMMM YYYY")&amp;"  s.d.  "&amp;TEXT(CONFIG!C5,"DD MMMM YYYY")</f>
        <v>PERIODE  25 March 2026  s.d.  24 April 2026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57"/>
    </row>
    <row r="3" spans="2:17" ht="7.5" customHeight="1" x14ac:dyDescent="0.25"/>
    <row r="4" spans="2:17" ht="27.75" customHeight="1" x14ac:dyDescent="0.25">
      <c r="B4" s="87" t="s">
        <v>22</v>
      </c>
      <c r="C4" s="87" t="s">
        <v>23</v>
      </c>
      <c r="D4" s="87" t="s">
        <v>24</v>
      </c>
      <c r="E4" s="72" t="s">
        <v>73</v>
      </c>
      <c r="F4" s="71"/>
      <c r="G4" s="71"/>
      <c r="H4" s="71"/>
      <c r="I4" s="71"/>
      <c r="J4" s="71"/>
      <c r="K4" s="72" t="s">
        <v>74</v>
      </c>
      <c r="L4" s="71"/>
      <c r="M4" s="71"/>
      <c r="N4" s="71"/>
      <c r="O4" s="87" t="s">
        <v>75</v>
      </c>
      <c r="P4" s="90" t="s">
        <v>76</v>
      </c>
    </row>
    <row r="5" spans="2:17" ht="45.6" customHeight="1" x14ac:dyDescent="0.25">
      <c r="B5" s="88"/>
      <c r="C5" s="88"/>
      <c r="D5" s="88"/>
      <c r="E5" s="39" t="s">
        <v>77</v>
      </c>
      <c r="F5" s="39" t="s">
        <v>78</v>
      </c>
      <c r="G5" s="39" t="s">
        <v>79</v>
      </c>
      <c r="H5" s="39" t="s">
        <v>80</v>
      </c>
      <c r="I5" s="39" t="s">
        <v>81</v>
      </c>
      <c r="J5" s="39" t="s">
        <v>82</v>
      </c>
      <c r="K5" s="39" t="s">
        <v>83</v>
      </c>
      <c r="L5" s="39" t="s">
        <v>84</v>
      </c>
      <c r="M5" s="39" t="s">
        <v>85</v>
      </c>
      <c r="N5" s="39" t="s">
        <v>86</v>
      </c>
      <c r="O5" s="88"/>
      <c r="P5" s="91"/>
    </row>
    <row r="6" spans="2:17" ht="3.75" customHeight="1" x14ac:dyDescent="0.25"/>
    <row r="7" spans="2:17" ht="18" customHeight="1" x14ac:dyDescent="0.25">
      <c r="B7" s="41">
        <v>1</v>
      </c>
      <c r="C7" s="42" t="s">
        <v>25</v>
      </c>
      <c r="D7" s="43" t="s">
        <v>26</v>
      </c>
      <c r="E7" s="41">
        <f>SUMPRODUCT((ABSENSI!D$3:AQ$3="Senin")*IFERROR(VLOOKUP($C7,DATA_JAM_PELAJARAN!$C:$K,3,0),0)+(ABSENSI!D$3:AQ$3="Selasa")*IFERROR(VLOOKUP($C7,DATA_JAM_PELAJARAN!$C:$K,4,0),0)+(ABSENSI!D$3:AQ$3="Rabu")*IFERROR(VLOOKUP($C7,DATA_JAM_PELAJARAN!$C:$K,5,0),0)+(ABSENSI!D$3:AQ$3="Kamis")*IFERROR(VLOOKUP($C7,DATA_JAM_PELAJARAN!$C:$K,6,0),0)+(ABSENSI!D$3:AQ$3="Jumat")*IFERROR(VLOOKUP($C7,DATA_JAM_PELAJARAN!$C:$K,7,0),0)+(ABSENSI!D$3:AQ$3="Sabtu")*IFERROR(VLOOKUP($C7,DATA_JAM_PELAJARAN!$C:$K,8,0),0))</f>
        <v>46</v>
      </c>
      <c r="F7" s="52">
        <f>SUMPRODUCT((ABSENSI!D4:AQ4="Mengajar")*((ABSENSI!D$3:AQ$3="Senin")*IFERROR(VLOOKUP($C7,DATA_JAM_PELAJARAN!$C:$K,3,0),0)+(ABSENSI!D$3:AQ$3="Selasa")*IFERROR(VLOOKUP($C7,DATA_JAM_PELAJARAN!$C:$K,4,0),0)+(ABSENSI!D$3:AQ$3="Rabu")*IFERROR(VLOOKUP($C7,DATA_JAM_PELAJARAN!$C:$K,5,0),0)+(ABSENSI!D$3:AQ$3="Kamis")*IFERROR(VLOOKUP($C7,DATA_JAM_PELAJARAN!$C:$K,6,0),0)+(ABSENSI!D$3:AQ$3="Jumat")*IFERROR(VLOOKUP($C7,DATA_JAM_PELAJARAN!$C:$K,7,0),0)+(ABSENSI!D$3:AQ$3="Sabtu")*IFERROR(VLOOKUP($C7,DATA_JAM_PELAJARAN!$C:$K,8,0),0)))</f>
        <v>40</v>
      </c>
      <c r="G7" s="32">
        <f>SUMPRODUCT((ABSENSI!D4:AQ4="Sakit")*((ABSENSI!D$3:AQ$3="Senin")*IFERROR(VLOOKUP($C7,DATA_JAM_PELAJARAN!$C:$K,3,0),0)+(ABSENSI!D$3:AQ$3="Selasa")*IFERROR(VLOOKUP($C7,DATA_JAM_PELAJARAN!$C:$K,4,0),0)+(ABSENSI!D$3:AQ$3="Rabu")*IFERROR(VLOOKUP($C7,DATA_JAM_PELAJARAN!$C:$K,5,0),0)+(ABSENSI!D$3:AQ$3="Kamis")*IFERROR(VLOOKUP($C7,DATA_JAM_PELAJARAN!$C:$K,6,0),0)+(ABSENSI!D$3:AQ$3="Jumat")*IFERROR(VLOOKUP($C7,DATA_JAM_PELAJARAN!$C:$K,7,0),0)+(ABSENSI!D$3:AQ$3="Sabtu")*IFERROR(VLOOKUP($C7,DATA_JAM_PELAJARAN!$C:$K,8,0),0)))</f>
        <v>0</v>
      </c>
      <c r="H7" s="32">
        <f>SUMPRODUCT((ABSENSI!D4:AQ4="Izin")*((ABSENSI!D$3:AQ$3="Senin")*IFERROR(VLOOKUP($C7,DATA_JAM_PELAJARAN!$C:$K,3,0),0)+(ABSENSI!D$3:AQ$3="Selasa")*IFERROR(VLOOKUP($C7,DATA_JAM_PELAJARAN!$C:$K,4,0),0)+(ABSENSI!D$3:AQ$3="Rabu")*IFERROR(VLOOKUP($C7,DATA_JAM_PELAJARAN!$C:$K,5,0),0)+(ABSENSI!D$3:AQ$3="Kamis")*IFERROR(VLOOKUP($C7,DATA_JAM_PELAJARAN!$C:$K,6,0),0)+(ABSENSI!D$3:AQ$3="Jumat")*IFERROR(VLOOKUP($C7,DATA_JAM_PELAJARAN!$C:$K,7,0),0)+(ABSENSI!D$3:AQ$3="Sabtu")*IFERROR(VLOOKUP($C7,DATA_JAM_PELAJARAN!$C:$K,8,0),0)))</f>
        <v>0</v>
      </c>
      <c r="I7" s="32">
        <f>SUMPRODUCT((ABSENSI!D4:AQ4="Tanpa Keterangan")*((ABSENSI!D$3:AQ$3="Senin")*IFERROR(VLOOKUP($C7,DATA_JAM_PELAJARAN!$C:$K,3,0),0)+(ABSENSI!D$3:AQ$3="Selasa")*IFERROR(VLOOKUP($C7,DATA_JAM_PELAJARAN!$C:$K,4,0),0)+(ABSENSI!D$3:AQ$3="Rabu")*IFERROR(VLOOKUP($C7,DATA_JAM_PELAJARAN!$C:$K,5,0),0)+(ABSENSI!D$3:AQ$3="Kamis")*IFERROR(VLOOKUP($C7,DATA_JAM_PELAJARAN!$C:$K,6,0),0)+(ABSENSI!D$3:AQ$3="Jumat")*IFERROR(VLOOKUP($C7,DATA_JAM_PELAJARAN!$C:$K,7,0),0)+(ABSENSI!D$3:AQ$3="Sabtu")*IFERROR(VLOOKUP($C7,DATA_JAM_PELAJARAN!$C:$K,8,0),0)))</f>
        <v>0</v>
      </c>
      <c r="J7" s="48">
        <f t="shared" ref="J7:J26" si="0">SUM(G7:I7)</f>
        <v>0</v>
      </c>
      <c r="K7" s="54">
        <f>COUNTIF(ABSENSI!D4:AQ4,"Mengajar")</f>
        <v>8</v>
      </c>
      <c r="L7" s="32">
        <f>COUNTIF(ABSENSI!D4:AQ4,"Sakit")</f>
        <v>0</v>
      </c>
      <c r="M7" s="32">
        <f>COUNTIF(ABSENSI!D4:AQ4,"Izin")</f>
        <v>0</v>
      </c>
      <c r="N7" s="32">
        <f>COUNTIF(ABSENSI!D4:AQ4,"Tanpa Keterangan")</f>
        <v>0</v>
      </c>
      <c r="O7" s="60">
        <f>IFERROR(F7/E7,0)</f>
        <v>0.86956521739130432</v>
      </c>
      <c r="P7" s="16">
        <f>SUMPRODUCT((ABSENSI!D$3:AQ$3="Senin")*(IFERROR(VLOOKUP($C7,DATA_JAM_PELAJARAN!$C:$K,3,0),0)&gt;0)+(ABSENSI!D$3:AQ$3="Selasa")*(IFERROR(VLOOKUP($C7,DATA_JAM_PELAJARAN!$C:$K,4,0),0)&gt;0)+(ABSENSI!D$3:AQ$3="Rabu")*(IFERROR(VLOOKUP($C7,DATA_JAM_PELAJARAN!$C:$K,5,0),0)&gt;0)+(ABSENSI!D$3:AQ$3="Kamis")*(IFERROR(VLOOKUP($C7,DATA_JAM_PELAJARAN!$C:$K,6,0),0)&gt;0)+(ABSENSI!D$3:AQ$3="Jumat")*(IFERROR(VLOOKUP($C7,DATA_JAM_PELAJARAN!$C:$K,7,0),0)&gt;0)+(ABSENSI!D$3:AQ$3="Sabtu")*(IFERROR(VLOOKUP($C7,DATA_JAM_PELAJARAN!$C:$K,8,0),0)&gt;0))</f>
        <v>9</v>
      </c>
    </row>
    <row r="8" spans="2:17" ht="18" customHeight="1" x14ac:dyDescent="0.25">
      <c r="B8" s="44">
        <v>2</v>
      </c>
      <c r="C8" s="45" t="s">
        <v>27</v>
      </c>
      <c r="D8" s="46" t="s">
        <v>28</v>
      </c>
      <c r="E8" s="44">
        <f>SUMPRODUCT((ABSENSI!D$3:AQ$3="Senin")*IFERROR(VLOOKUP($C8,DATA_JAM_PELAJARAN!$C:$K,3,0),0)+(ABSENSI!D$3:AQ$3="Selasa")*IFERROR(VLOOKUP($C8,DATA_JAM_PELAJARAN!$C:$K,4,0),0)+(ABSENSI!D$3:AQ$3="Rabu")*IFERROR(VLOOKUP($C8,DATA_JAM_PELAJARAN!$C:$K,5,0),0)+(ABSENSI!D$3:AQ$3="Kamis")*IFERROR(VLOOKUP($C8,DATA_JAM_PELAJARAN!$C:$K,6,0),0)+(ABSENSI!D$3:AQ$3="Jumat")*IFERROR(VLOOKUP($C8,DATA_JAM_PELAJARAN!$C:$K,7,0),0)+(ABSENSI!D$3:AQ$3="Sabtu")*IFERROR(VLOOKUP($C8,DATA_JAM_PELAJARAN!$C:$K,8,0),0))</f>
        <v>147</v>
      </c>
      <c r="F8" s="53">
        <f>SUMPRODUCT((ABSENSI!D5:AQ5="Mengajar")*((ABSENSI!D$3:AQ$3="Senin")*IFERROR(VLOOKUP($C8,DATA_JAM_PELAJARAN!$C:$K,3,0),0)+(ABSENSI!D$3:AQ$3="Selasa")*IFERROR(VLOOKUP($C8,DATA_JAM_PELAJARAN!$C:$K,4,0),0)+(ABSENSI!D$3:AQ$3="Rabu")*IFERROR(VLOOKUP($C8,DATA_JAM_PELAJARAN!$C:$K,5,0),0)+(ABSENSI!D$3:AQ$3="Kamis")*IFERROR(VLOOKUP($C8,DATA_JAM_PELAJARAN!$C:$K,6,0),0)+(ABSENSI!D$3:AQ$3="Jumat")*IFERROR(VLOOKUP($C8,DATA_JAM_PELAJARAN!$C:$K,7,0),0)+(ABSENSI!D$3:AQ$3="Sabtu")*IFERROR(VLOOKUP($C8,DATA_JAM_PELAJARAN!$C:$K,8,0),0)))</f>
        <v>132</v>
      </c>
      <c r="G8" s="34">
        <f>SUMPRODUCT((ABSENSI!D5:AQ5="Sakit")*((ABSENSI!D$3:AQ$3="Senin")*IFERROR(VLOOKUP($C8,DATA_JAM_PELAJARAN!$C:$K,3,0),0)+(ABSENSI!D$3:AQ$3="Selasa")*IFERROR(VLOOKUP($C8,DATA_JAM_PELAJARAN!$C:$K,4,0),0)+(ABSENSI!D$3:AQ$3="Rabu")*IFERROR(VLOOKUP($C8,DATA_JAM_PELAJARAN!$C:$K,5,0),0)+(ABSENSI!D$3:AQ$3="Kamis")*IFERROR(VLOOKUP($C8,DATA_JAM_PELAJARAN!$C:$K,6,0),0)+(ABSENSI!D$3:AQ$3="Jumat")*IFERROR(VLOOKUP($C8,DATA_JAM_PELAJARAN!$C:$K,7,0),0)+(ABSENSI!D$3:AQ$3="Sabtu")*IFERROR(VLOOKUP($C8,DATA_JAM_PELAJARAN!$C:$K,8,0),0)))</f>
        <v>0</v>
      </c>
      <c r="H8" s="34">
        <f>SUMPRODUCT((ABSENSI!D5:AQ5="Izin")*((ABSENSI!D$3:AQ$3="Senin")*IFERROR(VLOOKUP($C8,DATA_JAM_PELAJARAN!$C:$K,3,0),0)+(ABSENSI!D$3:AQ$3="Selasa")*IFERROR(VLOOKUP($C8,DATA_JAM_PELAJARAN!$C:$K,4,0),0)+(ABSENSI!D$3:AQ$3="Rabu")*IFERROR(VLOOKUP($C8,DATA_JAM_PELAJARAN!$C:$K,5,0),0)+(ABSENSI!D$3:AQ$3="Kamis")*IFERROR(VLOOKUP($C8,DATA_JAM_PELAJARAN!$C:$K,6,0),0)+(ABSENSI!D$3:AQ$3="Jumat")*IFERROR(VLOOKUP($C8,DATA_JAM_PELAJARAN!$C:$K,7,0),0)+(ABSENSI!D$3:AQ$3="Sabtu")*IFERROR(VLOOKUP($C8,DATA_JAM_PELAJARAN!$C:$K,8,0),0)))</f>
        <v>0</v>
      </c>
      <c r="I8" s="34">
        <f>SUMPRODUCT((ABSENSI!D5:AQ5="Tanpa Keterangan")*((ABSENSI!D$3:AQ$3="Senin")*IFERROR(VLOOKUP($C8,DATA_JAM_PELAJARAN!$C:$K,3,0),0)+(ABSENSI!D$3:AQ$3="Selasa")*IFERROR(VLOOKUP($C8,DATA_JAM_PELAJARAN!$C:$K,4,0),0)+(ABSENSI!D$3:AQ$3="Rabu")*IFERROR(VLOOKUP($C8,DATA_JAM_PELAJARAN!$C:$K,5,0),0)+(ABSENSI!D$3:AQ$3="Kamis")*IFERROR(VLOOKUP($C8,DATA_JAM_PELAJARAN!$C:$K,6,0),0)+(ABSENSI!D$3:AQ$3="Jumat")*IFERROR(VLOOKUP($C8,DATA_JAM_PELAJARAN!$C:$K,7,0),0)+(ABSENSI!D$3:AQ$3="Sabtu")*IFERROR(VLOOKUP($C8,DATA_JAM_PELAJARAN!$C:$K,8,0),0)))</f>
        <v>0</v>
      </c>
      <c r="J8" s="49">
        <f t="shared" si="0"/>
        <v>0</v>
      </c>
      <c r="K8" s="55">
        <f>COUNTIF(ABSENSI!D5:AQ5,"Mengajar")</f>
        <v>16</v>
      </c>
      <c r="L8" s="34">
        <f>COUNTIF(ABSENSI!D5:AQ5,"Sakit")</f>
        <v>0</v>
      </c>
      <c r="M8" s="34">
        <f>COUNTIF(ABSENSI!D5:AQ5,"Izin")</f>
        <v>0</v>
      </c>
      <c r="N8" s="34">
        <f>COUNTIF(ABSENSI!D5:AQ5,"Tanpa Keterangan")</f>
        <v>0</v>
      </c>
      <c r="O8" s="61">
        <f t="shared" ref="O7:O27" si="1">IFERROR(F8/E8,0)</f>
        <v>0.89795918367346939</v>
      </c>
      <c r="P8" s="16">
        <f>SUMPRODUCT((ABSENSI!D$3:AQ$3="Senin")*(IFERROR(VLOOKUP($C8,DATA_JAM_PELAJARAN!$C:$K,3,0),0)&gt;0)+(ABSENSI!D$3:AQ$3="Selasa")*(IFERROR(VLOOKUP($C8,DATA_JAM_PELAJARAN!$C:$K,4,0),0)&gt;0)+(ABSENSI!D$3:AQ$3="Rabu")*(IFERROR(VLOOKUP($C8,DATA_JAM_PELAJARAN!$C:$K,5,0),0)&gt;0)+(ABSENSI!D$3:AQ$3="Kamis")*(IFERROR(VLOOKUP($C8,DATA_JAM_PELAJARAN!$C:$K,6,0),0)&gt;0)+(ABSENSI!D$3:AQ$3="Jumat")*(IFERROR(VLOOKUP($C8,DATA_JAM_PELAJARAN!$C:$K,7,0),0)&gt;0)+(ABSENSI!D$3:AQ$3="Sabtu")*(IFERROR(VLOOKUP($C8,DATA_JAM_PELAJARAN!$C:$K,8,0),0)&gt;0))</f>
        <v>18</v>
      </c>
    </row>
    <row r="9" spans="2:17" ht="18" customHeight="1" x14ac:dyDescent="0.25">
      <c r="B9" s="41">
        <v>3</v>
      </c>
      <c r="C9" s="42" t="s">
        <v>29</v>
      </c>
      <c r="D9" s="43" t="s">
        <v>30</v>
      </c>
      <c r="E9" s="41">
        <f>SUMPRODUCT((ABSENSI!D$3:AQ$3="Senin")*IFERROR(VLOOKUP($C9,DATA_JAM_PELAJARAN!$C:$K,3,0),0)+(ABSENSI!D$3:AQ$3="Selasa")*IFERROR(VLOOKUP($C9,DATA_JAM_PELAJARAN!$C:$K,4,0),0)+(ABSENSI!D$3:AQ$3="Rabu")*IFERROR(VLOOKUP($C9,DATA_JAM_PELAJARAN!$C:$K,5,0),0)+(ABSENSI!D$3:AQ$3="Kamis")*IFERROR(VLOOKUP($C9,DATA_JAM_PELAJARAN!$C:$K,6,0),0)+(ABSENSI!D$3:AQ$3="Jumat")*IFERROR(VLOOKUP($C9,DATA_JAM_PELAJARAN!$C:$K,7,0),0)+(ABSENSI!D$3:AQ$3="Sabtu")*IFERROR(VLOOKUP($C9,DATA_JAM_PELAJARAN!$C:$K,8,0),0))</f>
        <v>60</v>
      </c>
      <c r="F9" s="52">
        <f>SUMPRODUCT((ABSENSI!D6:AQ6="Mengajar")*((ABSENSI!D$3:AQ$3="Senin")*IFERROR(VLOOKUP($C9,DATA_JAM_PELAJARAN!$C:$K,3,0),0)+(ABSENSI!D$3:AQ$3="Selasa")*IFERROR(VLOOKUP($C9,DATA_JAM_PELAJARAN!$C:$K,4,0),0)+(ABSENSI!D$3:AQ$3="Rabu")*IFERROR(VLOOKUP($C9,DATA_JAM_PELAJARAN!$C:$K,5,0),0)+(ABSENSI!D$3:AQ$3="Kamis")*IFERROR(VLOOKUP($C9,DATA_JAM_PELAJARAN!$C:$K,6,0),0)+(ABSENSI!D$3:AQ$3="Jumat")*IFERROR(VLOOKUP($C9,DATA_JAM_PELAJARAN!$C:$K,7,0),0)+(ABSENSI!D$3:AQ$3="Sabtu")*IFERROR(VLOOKUP($C9,DATA_JAM_PELAJARAN!$C:$K,8,0),0)))</f>
        <v>56</v>
      </c>
      <c r="G9" s="32">
        <f>SUMPRODUCT((ABSENSI!D6:AQ6="Sakit")*((ABSENSI!D$3:AQ$3="Senin")*IFERROR(VLOOKUP($C9,DATA_JAM_PELAJARAN!$C:$K,3,0),0)+(ABSENSI!D$3:AQ$3="Selasa")*IFERROR(VLOOKUP($C9,DATA_JAM_PELAJARAN!$C:$K,4,0),0)+(ABSENSI!D$3:AQ$3="Rabu")*IFERROR(VLOOKUP($C9,DATA_JAM_PELAJARAN!$C:$K,5,0),0)+(ABSENSI!D$3:AQ$3="Kamis")*IFERROR(VLOOKUP($C9,DATA_JAM_PELAJARAN!$C:$K,6,0),0)+(ABSENSI!D$3:AQ$3="Jumat")*IFERROR(VLOOKUP($C9,DATA_JAM_PELAJARAN!$C:$K,7,0),0)+(ABSENSI!D$3:AQ$3="Sabtu")*IFERROR(VLOOKUP($C9,DATA_JAM_PELAJARAN!$C:$K,8,0),0)))</f>
        <v>0</v>
      </c>
      <c r="H9" s="32">
        <f>SUMPRODUCT((ABSENSI!D6:AQ6="Izin")*((ABSENSI!D$3:AQ$3="Senin")*IFERROR(VLOOKUP($C9,DATA_JAM_PELAJARAN!$C:$K,3,0),0)+(ABSENSI!D$3:AQ$3="Selasa")*IFERROR(VLOOKUP($C9,DATA_JAM_PELAJARAN!$C:$K,4,0),0)+(ABSENSI!D$3:AQ$3="Rabu")*IFERROR(VLOOKUP($C9,DATA_JAM_PELAJARAN!$C:$K,5,0),0)+(ABSENSI!D$3:AQ$3="Kamis")*IFERROR(VLOOKUP($C9,DATA_JAM_PELAJARAN!$C:$K,6,0),0)+(ABSENSI!D$3:AQ$3="Jumat")*IFERROR(VLOOKUP($C9,DATA_JAM_PELAJARAN!$C:$K,7,0),0)+(ABSENSI!D$3:AQ$3="Sabtu")*IFERROR(VLOOKUP($C9,DATA_JAM_PELAJARAN!$C:$K,8,0),0)))</f>
        <v>0</v>
      </c>
      <c r="I9" s="32">
        <f>SUMPRODUCT((ABSENSI!D6:AQ6="Tanpa Keterangan")*((ABSENSI!D$3:AQ$3="Senin")*IFERROR(VLOOKUP($C9,DATA_JAM_PELAJARAN!$C:$K,3,0),0)+(ABSENSI!D$3:AQ$3="Selasa")*IFERROR(VLOOKUP($C9,DATA_JAM_PELAJARAN!$C:$K,4,0),0)+(ABSENSI!D$3:AQ$3="Rabu")*IFERROR(VLOOKUP($C9,DATA_JAM_PELAJARAN!$C:$K,5,0),0)+(ABSENSI!D$3:AQ$3="Kamis")*IFERROR(VLOOKUP($C9,DATA_JAM_PELAJARAN!$C:$K,6,0),0)+(ABSENSI!D$3:AQ$3="Jumat")*IFERROR(VLOOKUP($C9,DATA_JAM_PELAJARAN!$C:$K,7,0),0)+(ABSENSI!D$3:AQ$3="Sabtu")*IFERROR(VLOOKUP($C9,DATA_JAM_PELAJARAN!$C:$K,8,0),0)))</f>
        <v>0</v>
      </c>
      <c r="J9" s="48">
        <f t="shared" si="0"/>
        <v>0</v>
      </c>
      <c r="K9" s="54">
        <f>COUNTIF(ABSENSI!D6:AQ6,"Mengajar")</f>
        <v>12</v>
      </c>
      <c r="L9" s="32">
        <f>COUNTIF(ABSENSI!D6:AQ6,"Sakit")</f>
        <v>0</v>
      </c>
      <c r="M9" s="32">
        <f>COUNTIF(ABSENSI!D6:AQ6,"Izin")</f>
        <v>0</v>
      </c>
      <c r="N9" s="32">
        <f>COUNTIF(ABSENSI!D6:AQ6,"Tanpa Keterangan")</f>
        <v>0</v>
      </c>
      <c r="O9" s="60">
        <f>IFERROR(F9/E9,0)</f>
        <v>0.93333333333333335</v>
      </c>
      <c r="P9" s="16">
        <f>SUMPRODUCT((ABSENSI!D$3:AQ$3="Senin")*(IFERROR(VLOOKUP($C9,DATA_JAM_PELAJARAN!$C:$K,3,0),0)&gt;0)+(ABSENSI!D$3:AQ$3="Selasa")*(IFERROR(VLOOKUP($C9,DATA_JAM_PELAJARAN!$C:$K,4,0),0)&gt;0)+(ABSENSI!D$3:AQ$3="Rabu")*(IFERROR(VLOOKUP($C9,DATA_JAM_PELAJARAN!$C:$K,5,0),0)&gt;0)+(ABSENSI!D$3:AQ$3="Kamis")*(IFERROR(VLOOKUP($C9,DATA_JAM_PELAJARAN!$C:$K,6,0),0)&gt;0)+(ABSENSI!D$3:AQ$3="Jumat")*(IFERROR(VLOOKUP($C9,DATA_JAM_PELAJARAN!$C:$K,7,0),0)&gt;0)+(ABSENSI!D$3:AQ$3="Sabtu")*(IFERROR(VLOOKUP($C9,DATA_JAM_PELAJARAN!$C:$K,8,0),0)&gt;0))</f>
        <v>13</v>
      </c>
    </row>
    <row r="10" spans="2:17" ht="18" customHeight="1" x14ac:dyDescent="0.25">
      <c r="B10" s="44">
        <v>4</v>
      </c>
      <c r="C10" s="45" t="s">
        <v>31</v>
      </c>
      <c r="D10" s="46" t="s">
        <v>32</v>
      </c>
      <c r="E10" s="44">
        <f>SUMPRODUCT((ABSENSI!D$3:AQ$3="Senin")*IFERROR(VLOOKUP($C10,DATA_JAM_PELAJARAN!$C:$K,3,0),0)+(ABSENSI!D$3:AQ$3="Selasa")*IFERROR(VLOOKUP($C10,DATA_JAM_PELAJARAN!$C:$K,4,0),0)+(ABSENSI!D$3:AQ$3="Rabu")*IFERROR(VLOOKUP($C10,DATA_JAM_PELAJARAN!$C:$K,5,0),0)+(ABSENSI!D$3:AQ$3="Kamis")*IFERROR(VLOOKUP($C10,DATA_JAM_PELAJARAN!$C:$K,6,0),0)+(ABSENSI!D$3:AQ$3="Jumat")*IFERROR(VLOOKUP($C10,DATA_JAM_PELAJARAN!$C:$K,7,0),0)+(ABSENSI!D$3:AQ$3="Sabtu")*IFERROR(VLOOKUP($C10,DATA_JAM_PELAJARAN!$C:$K,8,0),0))</f>
        <v>72</v>
      </c>
      <c r="F10" s="53">
        <f>SUMPRODUCT((ABSENSI!D7:AQ7="Mengajar")*((ABSENSI!D$3:AQ$3="Senin")*IFERROR(VLOOKUP($C10,DATA_JAM_PELAJARAN!$C:$K,3,0),0)+(ABSENSI!D$3:AQ$3="Selasa")*IFERROR(VLOOKUP($C10,DATA_JAM_PELAJARAN!$C:$K,4,0),0)+(ABSENSI!D$3:AQ$3="Rabu")*IFERROR(VLOOKUP($C10,DATA_JAM_PELAJARAN!$C:$K,5,0),0)+(ABSENSI!D$3:AQ$3="Kamis")*IFERROR(VLOOKUP($C10,DATA_JAM_PELAJARAN!$C:$K,6,0),0)+(ABSENSI!D$3:AQ$3="Jumat")*IFERROR(VLOOKUP($C10,DATA_JAM_PELAJARAN!$C:$K,7,0),0)+(ABSENSI!D$3:AQ$3="Sabtu")*IFERROR(VLOOKUP($C10,DATA_JAM_PELAJARAN!$C:$K,8,0),0)))</f>
        <v>64</v>
      </c>
      <c r="G10" s="34">
        <f>SUMPRODUCT((ABSENSI!D7:AQ7="Sakit")*((ABSENSI!D$3:AQ$3="Senin")*IFERROR(VLOOKUP($C10,DATA_JAM_PELAJARAN!$C:$K,3,0),0)+(ABSENSI!D$3:AQ$3="Selasa")*IFERROR(VLOOKUP($C10,DATA_JAM_PELAJARAN!$C:$K,4,0),0)+(ABSENSI!D$3:AQ$3="Rabu")*IFERROR(VLOOKUP($C10,DATA_JAM_PELAJARAN!$C:$K,5,0),0)+(ABSENSI!D$3:AQ$3="Kamis")*IFERROR(VLOOKUP($C10,DATA_JAM_PELAJARAN!$C:$K,6,0),0)+(ABSENSI!D$3:AQ$3="Jumat")*IFERROR(VLOOKUP($C10,DATA_JAM_PELAJARAN!$C:$K,7,0),0)+(ABSENSI!D$3:AQ$3="Sabtu")*IFERROR(VLOOKUP($C10,DATA_JAM_PELAJARAN!$C:$K,8,0),0)))</f>
        <v>0</v>
      </c>
      <c r="H10" s="34">
        <f>SUMPRODUCT((ABSENSI!D7:AQ7="Izin")*((ABSENSI!D$3:AQ$3="Senin")*IFERROR(VLOOKUP($C10,DATA_JAM_PELAJARAN!$C:$K,3,0),0)+(ABSENSI!D$3:AQ$3="Selasa")*IFERROR(VLOOKUP($C10,DATA_JAM_PELAJARAN!$C:$K,4,0),0)+(ABSENSI!D$3:AQ$3="Rabu")*IFERROR(VLOOKUP($C10,DATA_JAM_PELAJARAN!$C:$K,5,0),0)+(ABSENSI!D$3:AQ$3="Kamis")*IFERROR(VLOOKUP($C10,DATA_JAM_PELAJARAN!$C:$K,6,0),0)+(ABSENSI!D$3:AQ$3="Jumat")*IFERROR(VLOOKUP($C10,DATA_JAM_PELAJARAN!$C:$K,7,0),0)+(ABSENSI!D$3:AQ$3="Sabtu")*IFERROR(VLOOKUP($C10,DATA_JAM_PELAJARAN!$C:$K,8,0),0)))</f>
        <v>0</v>
      </c>
      <c r="I10" s="34">
        <f>SUMPRODUCT((ABSENSI!D7:AQ7="Tanpa Keterangan")*((ABSENSI!D$3:AQ$3="Senin")*IFERROR(VLOOKUP($C10,DATA_JAM_PELAJARAN!$C:$K,3,0),0)+(ABSENSI!D$3:AQ$3="Selasa")*IFERROR(VLOOKUP($C10,DATA_JAM_PELAJARAN!$C:$K,4,0),0)+(ABSENSI!D$3:AQ$3="Rabu")*IFERROR(VLOOKUP($C10,DATA_JAM_PELAJARAN!$C:$K,5,0),0)+(ABSENSI!D$3:AQ$3="Kamis")*IFERROR(VLOOKUP($C10,DATA_JAM_PELAJARAN!$C:$K,6,0),0)+(ABSENSI!D$3:AQ$3="Jumat")*IFERROR(VLOOKUP($C10,DATA_JAM_PELAJARAN!$C:$K,7,0),0)+(ABSENSI!D$3:AQ$3="Sabtu")*IFERROR(VLOOKUP($C10,DATA_JAM_PELAJARAN!$C:$K,8,0),0)))</f>
        <v>0</v>
      </c>
      <c r="J10" s="49">
        <f t="shared" si="0"/>
        <v>0</v>
      </c>
      <c r="K10" s="55">
        <f>COUNTIF(ABSENSI!D7:AQ7,"Mengajar")</f>
        <v>12</v>
      </c>
      <c r="L10" s="34">
        <f>COUNTIF(ABSENSI!D7:AQ7,"Sakit")</f>
        <v>0</v>
      </c>
      <c r="M10" s="34">
        <f>COUNTIF(ABSENSI!D7:AQ7,"Izin")</f>
        <v>0</v>
      </c>
      <c r="N10" s="34">
        <f>COUNTIF(ABSENSI!D7:AQ7,"Tanpa Keterangan")</f>
        <v>0</v>
      </c>
      <c r="O10" s="61">
        <f t="shared" si="1"/>
        <v>0.88888888888888884</v>
      </c>
      <c r="P10" s="16">
        <f>SUMPRODUCT((ABSENSI!D$3:AQ$3="Senin")*(IFERROR(VLOOKUP($C10,DATA_JAM_PELAJARAN!$C:$K,3,0),0)&gt;0)+(ABSENSI!D$3:AQ$3="Selasa")*(IFERROR(VLOOKUP($C10,DATA_JAM_PELAJARAN!$C:$K,4,0),0)&gt;0)+(ABSENSI!D$3:AQ$3="Rabu")*(IFERROR(VLOOKUP($C10,DATA_JAM_PELAJARAN!$C:$K,5,0),0)&gt;0)+(ABSENSI!D$3:AQ$3="Kamis")*(IFERROR(VLOOKUP($C10,DATA_JAM_PELAJARAN!$C:$K,6,0),0)&gt;0)+(ABSENSI!D$3:AQ$3="Jumat")*(IFERROR(VLOOKUP($C10,DATA_JAM_PELAJARAN!$C:$K,7,0),0)&gt;0)+(ABSENSI!D$3:AQ$3="Sabtu")*(IFERROR(VLOOKUP($C10,DATA_JAM_PELAJARAN!$C:$K,8,0),0)&gt;0))</f>
        <v>13</v>
      </c>
    </row>
    <row r="11" spans="2:17" ht="18" customHeight="1" x14ac:dyDescent="0.25">
      <c r="B11" s="41">
        <v>5</v>
      </c>
      <c r="C11" s="42" t="s">
        <v>33</v>
      </c>
      <c r="D11" s="43" t="s">
        <v>34</v>
      </c>
      <c r="E11" s="41">
        <f>SUMPRODUCT((ABSENSI!D$3:AQ$3="Senin")*IFERROR(VLOOKUP($C11,DATA_JAM_PELAJARAN!$C:$K,3,0),0)+(ABSENSI!D$3:AQ$3="Selasa")*IFERROR(VLOOKUP($C11,DATA_JAM_PELAJARAN!$C:$K,4,0),0)+(ABSENSI!D$3:AQ$3="Rabu")*IFERROR(VLOOKUP($C11,DATA_JAM_PELAJARAN!$C:$K,5,0),0)+(ABSENSI!D$3:AQ$3="Kamis")*IFERROR(VLOOKUP($C11,DATA_JAM_PELAJARAN!$C:$K,6,0),0)+(ABSENSI!D$3:AQ$3="Jumat")*IFERROR(VLOOKUP($C11,DATA_JAM_PELAJARAN!$C:$K,7,0),0)+(ABSENSI!D$3:AQ$3="Sabtu")*IFERROR(VLOOKUP($C11,DATA_JAM_PELAJARAN!$C:$K,8,0),0))</f>
        <v>136</v>
      </c>
      <c r="F11" s="52">
        <f>SUMPRODUCT((ABSENSI!D8:AQ8="Mengajar")*((ABSENSI!D$3:AQ$3="Senin")*IFERROR(VLOOKUP($C11,DATA_JAM_PELAJARAN!$C:$K,3,0),0)+(ABSENSI!D$3:AQ$3="Selasa")*IFERROR(VLOOKUP($C11,DATA_JAM_PELAJARAN!$C:$K,4,0),0)+(ABSENSI!D$3:AQ$3="Rabu")*IFERROR(VLOOKUP($C11,DATA_JAM_PELAJARAN!$C:$K,5,0),0)+(ABSENSI!D$3:AQ$3="Kamis")*IFERROR(VLOOKUP($C11,DATA_JAM_PELAJARAN!$C:$K,6,0),0)+(ABSENSI!D$3:AQ$3="Jumat")*IFERROR(VLOOKUP($C11,DATA_JAM_PELAJARAN!$C:$K,7,0),0)+(ABSENSI!D$3:AQ$3="Sabtu")*IFERROR(VLOOKUP($C11,DATA_JAM_PELAJARAN!$C:$K,8,0),0)))</f>
        <v>120</v>
      </c>
      <c r="G11" s="32">
        <f>SUMPRODUCT((ABSENSI!D8:AQ8="Sakit")*((ABSENSI!D$3:AQ$3="Senin")*IFERROR(VLOOKUP($C11,DATA_JAM_PELAJARAN!$C:$K,3,0),0)+(ABSENSI!D$3:AQ$3="Selasa")*IFERROR(VLOOKUP($C11,DATA_JAM_PELAJARAN!$C:$K,4,0),0)+(ABSENSI!D$3:AQ$3="Rabu")*IFERROR(VLOOKUP($C11,DATA_JAM_PELAJARAN!$C:$K,5,0),0)+(ABSENSI!D$3:AQ$3="Kamis")*IFERROR(VLOOKUP($C11,DATA_JAM_PELAJARAN!$C:$K,6,0),0)+(ABSENSI!D$3:AQ$3="Jumat")*IFERROR(VLOOKUP($C11,DATA_JAM_PELAJARAN!$C:$K,7,0),0)+(ABSENSI!D$3:AQ$3="Sabtu")*IFERROR(VLOOKUP($C11,DATA_JAM_PELAJARAN!$C:$K,8,0),0)))</f>
        <v>0</v>
      </c>
      <c r="H11" s="32">
        <f>SUMPRODUCT((ABSENSI!D8:AQ8="Izin")*((ABSENSI!D$3:AQ$3="Senin")*IFERROR(VLOOKUP($C11,DATA_JAM_PELAJARAN!$C:$K,3,0),0)+(ABSENSI!D$3:AQ$3="Selasa")*IFERROR(VLOOKUP($C11,DATA_JAM_PELAJARAN!$C:$K,4,0),0)+(ABSENSI!D$3:AQ$3="Rabu")*IFERROR(VLOOKUP($C11,DATA_JAM_PELAJARAN!$C:$K,5,0),0)+(ABSENSI!D$3:AQ$3="Kamis")*IFERROR(VLOOKUP($C11,DATA_JAM_PELAJARAN!$C:$K,6,0),0)+(ABSENSI!D$3:AQ$3="Jumat")*IFERROR(VLOOKUP($C11,DATA_JAM_PELAJARAN!$C:$K,7,0),0)+(ABSENSI!D$3:AQ$3="Sabtu")*IFERROR(VLOOKUP($C11,DATA_JAM_PELAJARAN!$C:$K,8,0),0)))</f>
        <v>0</v>
      </c>
      <c r="I11" s="32">
        <f>SUMPRODUCT((ABSENSI!D8:AQ8="Tanpa Keterangan")*((ABSENSI!D$3:AQ$3="Senin")*IFERROR(VLOOKUP($C11,DATA_JAM_PELAJARAN!$C:$K,3,0),0)+(ABSENSI!D$3:AQ$3="Selasa")*IFERROR(VLOOKUP($C11,DATA_JAM_PELAJARAN!$C:$K,4,0),0)+(ABSENSI!D$3:AQ$3="Rabu")*IFERROR(VLOOKUP($C11,DATA_JAM_PELAJARAN!$C:$K,5,0),0)+(ABSENSI!D$3:AQ$3="Kamis")*IFERROR(VLOOKUP($C11,DATA_JAM_PELAJARAN!$C:$K,6,0),0)+(ABSENSI!D$3:AQ$3="Jumat")*IFERROR(VLOOKUP($C11,DATA_JAM_PELAJARAN!$C:$K,7,0),0)+(ABSENSI!D$3:AQ$3="Sabtu")*IFERROR(VLOOKUP($C11,DATA_JAM_PELAJARAN!$C:$K,8,0),0)))</f>
        <v>0</v>
      </c>
      <c r="J11" s="48">
        <f t="shared" si="0"/>
        <v>0</v>
      </c>
      <c r="K11" s="54">
        <f>COUNTIF(ABSENSI!D8:AQ8,"Mengajar")</f>
        <v>16</v>
      </c>
      <c r="L11" s="32">
        <f>COUNTIF(ABSENSI!D8:AQ8,"Sakit")</f>
        <v>0</v>
      </c>
      <c r="M11" s="32">
        <f>COUNTIF(ABSENSI!D8:AQ8,"Izin")</f>
        <v>0</v>
      </c>
      <c r="N11" s="32">
        <f>COUNTIF(ABSENSI!D8:AQ8,"Tanpa Keterangan")</f>
        <v>0</v>
      </c>
      <c r="O11" s="60">
        <f t="shared" si="1"/>
        <v>0.88235294117647056</v>
      </c>
      <c r="P11" s="16">
        <f>SUMPRODUCT((ABSENSI!D$3:AQ$3="Senin")*(IFERROR(VLOOKUP($C11,DATA_JAM_PELAJARAN!$C:$K,3,0),0)&gt;0)+(ABSENSI!D$3:AQ$3="Selasa")*(IFERROR(VLOOKUP($C11,DATA_JAM_PELAJARAN!$C:$K,4,0),0)&gt;0)+(ABSENSI!D$3:AQ$3="Rabu")*(IFERROR(VLOOKUP($C11,DATA_JAM_PELAJARAN!$C:$K,5,0),0)&gt;0)+(ABSENSI!D$3:AQ$3="Kamis")*(IFERROR(VLOOKUP($C11,DATA_JAM_PELAJARAN!$C:$K,6,0),0)&gt;0)+(ABSENSI!D$3:AQ$3="Jumat")*(IFERROR(VLOOKUP($C11,DATA_JAM_PELAJARAN!$C:$K,7,0),0)&gt;0)+(ABSENSI!D$3:AQ$3="Sabtu")*(IFERROR(VLOOKUP($C11,DATA_JAM_PELAJARAN!$C:$K,8,0),0)&gt;0))</f>
        <v>18</v>
      </c>
    </row>
    <row r="12" spans="2:17" ht="18" customHeight="1" x14ac:dyDescent="0.25">
      <c r="B12" s="44">
        <v>6</v>
      </c>
      <c r="C12" s="45" t="s">
        <v>35</v>
      </c>
      <c r="D12" s="46" t="s">
        <v>36</v>
      </c>
      <c r="E12" s="44">
        <f>SUMPRODUCT((ABSENSI!D$3:AQ$3="Senin")*IFERROR(VLOOKUP($C12,DATA_JAM_PELAJARAN!$C:$K,3,0),0)+(ABSENSI!D$3:AQ$3="Selasa")*IFERROR(VLOOKUP($C12,DATA_JAM_PELAJARAN!$C:$K,4,0),0)+(ABSENSI!D$3:AQ$3="Rabu")*IFERROR(VLOOKUP($C12,DATA_JAM_PELAJARAN!$C:$K,5,0),0)+(ABSENSI!D$3:AQ$3="Kamis")*IFERROR(VLOOKUP($C12,DATA_JAM_PELAJARAN!$C:$K,6,0),0)+(ABSENSI!D$3:AQ$3="Jumat")*IFERROR(VLOOKUP($C12,DATA_JAM_PELAJARAN!$C:$K,7,0),0)+(ABSENSI!D$3:AQ$3="Sabtu")*IFERROR(VLOOKUP($C12,DATA_JAM_PELAJARAN!$C:$K,8,0),0))</f>
        <v>69</v>
      </c>
      <c r="F12" s="53">
        <f>SUMPRODUCT((ABSENSI!D9:AQ9="Mengajar")*((ABSENSI!D$3:AQ$3="Senin")*IFERROR(VLOOKUP($C12,DATA_JAM_PELAJARAN!$C:$K,3,0),0)+(ABSENSI!D$3:AQ$3="Selasa")*IFERROR(VLOOKUP($C12,DATA_JAM_PELAJARAN!$C:$K,4,0),0)+(ABSENSI!D$3:AQ$3="Rabu")*IFERROR(VLOOKUP($C12,DATA_JAM_PELAJARAN!$C:$K,5,0),0)+(ABSENSI!D$3:AQ$3="Kamis")*IFERROR(VLOOKUP($C12,DATA_JAM_PELAJARAN!$C:$K,6,0),0)+(ABSENSI!D$3:AQ$3="Jumat")*IFERROR(VLOOKUP($C12,DATA_JAM_PELAJARAN!$C:$K,7,0),0)+(ABSENSI!D$3:AQ$3="Sabtu")*IFERROR(VLOOKUP($C12,DATA_JAM_PELAJARAN!$C:$K,8,0),0)))</f>
        <v>60</v>
      </c>
      <c r="G12" s="34">
        <f>SUMPRODUCT((ABSENSI!D9:AQ9="Sakit")*((ABSENSI!D$3:AQ$3="Senin")*IFERROR(VLOOKUP($C12,DATA_JAM_PELAJARAN!$C:$K,3,0),0)+(ABSENSI!D$3:AQ$3="Selasa")*IFERROR(VLOOKUP($C12,DATA_JAM_PELAJARAN!$C:$K,4,0),0)+(ABSENSI!D$3:AQ$3="Rabu")*IFERROR(VLOOKUP($C12,DATA_JAM_PELAJARAN!$C:$K,5,0),0)+(ABSENSI!D$3:AQ$3="Kamis")*IFERROR(VLOOKUP($C12,DATA_JAM_PELAJARAN!$C:$K,6,0),0)+(ABSENSI!D$3:AQ$3="Jumat")*IFERROR(VLOOKUP($C12,DATA_JAM_PELAJARAN!$C:$K,7,0),0)+(ABSENSI!D$3:AQ$3="Sabtu")*IFERROR(VLOOKUP($C12,DATA_JAM_PELAJARAN!$C:$K,8,0),0)))</f>
        <v>0</v>
      </c>
      <c r="H12" s="34">
        <f>SUMPRODUCT((ABSENSI!D9:AQ9="Izin")*((ABSENSI!D$3:AQ$3="Senin")*IFERROR(VLOOKUP($C12,DATA_JAM_PELAJARAN!$C:$K,3,0),0)+(ABSENSI!D$3:AQ$3="Selasa")*IFERROR(VLOOKUP($C12,DATA_JAM_PELAJARAN!$C:$K,4,0),0)+(ABSENSI!D$3:AQ$3="Rabu")*IFERROR(VLOOKUP($C12,DATA_JAM_PELAJARAN!$C:$K,5,0),0)+(ABSENSI!D$3:AQ$3="Kamis")*IFERROR(VLOOKUP($C12,DATA_JAM_PELAJARAN!$C:$K,6,0),0)+(ABSENSI!D$3:AQ$3="Jumat")*IFERROR(VLOOKUP($C12,DATA_JAM_PELAJARAN!$C:$K,7,0),0)+(ABSENSI!D$3:AQ$3="Sabtu")*IFERROR(VLOOKUP($C12,DATA_JAM_PELAJARAN!$C:$K,8,0),0)))</f>
        <v>0</v>
      </c>
      <c r="I12" s="34">
        <f>SUMPRODUCT((ABSENSI!D9:AQ9="Tanpa Keterangan")*((ABSENSI!D$3:AQ$3="Senin")*IFERROR(VLOOKUP($C12,DATA_JAM_PELAJARAN!$C:$K,3,0),0)+(ABSENSI!D$3:AQ$3="Selasa")*IFERROR(VLOOKUP($C12,DATA_JAM_PELAJARAN!$C:$K,4,0),0)+(ABSENSI!D$3:AQ$3="Rabu")*IFERROR(VLOOKUP($C12,DATA_JAM_PELAJARAN!$C:$K,5,0),0)+(ABSENSI!D$3:AQ$3="Kamis")*IFERROR(VLOOKUP($C12,DATA_JAM_PELAJARAN!$C:$K,6,0),0)+(ABSENSI!D$3:AQ$3="Jumat")*IFERROR(VLOOKUP($C12,DATA_JAM_PELAJARAN!$C:$K,7,0),0)+(ABSENSI!D$3:AQ$3="Sabtu")*IFERROR(VLOOKUP($C12,DATA_JAM_PELAJARAN!$C:$K,8,0),0)))</f>
        <v>0</v>
      </c>
      <c r="J12" s="49">
        <f t="shared" si="0"/>
        <v>0</v>
      </c>
      <c r="K12" s="55">
        <f>COUNTIF(ABSENSI!D9:AQ9,"Mengajar")</f>
        <v>12</v>
      </c>
      <c r="L12" s="34">
        <f>COUNTIF(ABSENSI!D9:AQ9,"Sakit")</f>
        <v>0</v>
      </c>
      <c r="M12" s="34">
        <f>COUNTIF(ABSENSI!D9:AQ9,"Izin")</f>
        <v>0</v>
      </c>
      <c r="N12" s="34">
        <f>COUNTIF(ABSENSI!D9:AQ9,"Tanpa Keterangan")</f>
        <v>0</v>
      </c>
      <c r="O12" s="61">
        <f t="shared" si="1"/>
        <v>0.86956521739130432</v>
      </c>
      <c r="P12" s="16">
        <f>SUMPRODUCT((ABSENSI!D$3:AQ$3="Senin")*(IFERROR(VLOOKUP($C12,DATA_JAM_PELAJARAN!$C:$K,3,0),0)&gt;0)+(ABSENSI!D$3:AQ$3="Selasa")*(IFERROR(VLOOKUP($C12,DATA_JAM_PELAJARAN!$C:$K,4,0),0)&gt;0)+(ABSENSI!D$3:AQ$3="Rabu")*(IFERROR(VLOOKUP($C12,DATA_JAM_PELAJARAN!$C:$K,5,0),0)&gt;0)+(ABSENSI!D$3:AQ$3="Kamis")*(IFERROR(VLOOKUP($C12,DATA_JAM_PELAJARAN!$C:$K,6,0),0)&gt;0)+(ABSENSI!D$3:AQ$3="Jumat")*(IFERROR(VLOOKUP($C12,DATA_JAM_PELAJARAN!$C:$K,7,0),0)&gt;0)+(ABSENSI!D$3:AQ$3="Sabtu")*(IFERROR(VLOOKUP($C12,DATA_JAM_PELAJARAN!$C:$K,8,0),0)&gt;0))</f>
        <v>14</v>
      </c>
    </row>
    <row r="13" spans="2:17" ht="18" customHeight="1" x14ac:dyDescent="0.25">
      <c r="B13" s="41">
        <v>7</v>
      </c>
      <c r="C13" s="42" t="s">
        <v>37</v>
      </c>
      <c r="D13" s="43" t="s">
        <v>32</v>
      </c>
      <c r="E13" s="41">
        <f>SUMPRODUCT((ABSENSI!D$3:AQ$3="Senin")*IFERROR(VLOOKUP($C13,DATA_JAM_PELAJARAN!$C:$K,3,0),0)+(ABSENSI!D$3:AQ$3="Selasa")*IFERROR(VLOOKUP($C13,DATA_JAM_PELAJARAN!$C:$K,4,0),0)+(ABSENSI!D$3:AQ$3="Rabu")*IFERROR(VLOOKUP($C13,DATA_JAM_PELAJARAN!$C:$K,5,0),0)+(ABSENSI!D$3:AQ$3="Kamis")*IFERROR(VLOOKUP($C13,DATA_JAM_PELAJARAN!$C:$K,6,0),0)+(ABSENSI!D$3:AQ$3="Jumat")*IFERROR(VLOOKUP($C13,DATA_JAM_PELAJARAN!$C:$K,7,0),0)+(ABSENSI!D$3:AQ$3="Sabtu")*IFERROR(VLOOKUP($C13,DATA_JAM_PELAJARAN!$C:$K,8,0),0))</f>
        <v>56</v>
      </c>
      <c r="F13" s="52">
        <f>SUMPRODUCT((ABSENSI!D10:AQ10="Mengajar")*((ABSENSI!D$3:AQ$3="Senin")*IFERROR(VLOOKUP($C13,DATA_JAM_PELAJARAN!$C:$K,3,0),0)+(ABSENSI!D$3:AQ$3="Selasa")*IFERROR(VLOOKUP($C13,DATA_JAM_PELAJARAN!$C:$K,4,0),0)+(ABSENSI!D$3:AQ$3="Rabu")*IFERROR(VLOOKUP($C13,DATA_JAM_PELAJARAN!$C:$K,5,0),0)+(ABSENSI!D$3:AQ$3="Kamis")*IFERROR(VLOOKUP($C13,DATA_JAM_PELAJARAN!$C:$K,6,0),0)+(ABSENSI!D$3:AQ$3="Jumat")*IFERROR(VLOOKUP($C13,DATA_JAM_PELAJARAN!$C:$K,7,0),0)+(ABSENSI!D$3:AQ$3="Sabtu")*IFERROR(VLOOKUP($C13,DATA_JAM_PELAJARAN!$C:$K,8,0),0)))</f>
        <v>48</v>
      </c>
      <c r="G13" s="32">
        <f>SUMPRODUCT((ABSENSI!D10:AQ10="Sakit")*((ABSENSI!D$3:AQ$3="Senin")*IFERROR(VLOOKUP($C13,DATA_JAM_PELAJARAN!$C:$K,3,0),0)+(ABSENSI!D$3:AQ$3="Selasa")*IFERROR(VLOOKUP($C13,DATA_JAM_PELAJARAN!$C:$K,4,0),0)+(ABSENSI!D$3:AQ$3="Rabu")*IFERROR(VLOOKUP($C13,DATA_JAM_PELAJARAN!$C:$K,5,0),0)+(ABSENSI!D$3:AQ$3="Kamis")*IFERROR(VLOOKUP($C13,DATA_JAM_PELAJARAN!$C:$K,6,0),0)+(ABSENSI!D$3:AQ$3="Jumat")*IFERROR(VLOOKUP($C13,DATA_JAM_PELAJARAN!$C:$K,7,0),0)+(ABSENSI!D$3:AQ$3="Sabtu")*IFERROR(VLOOKUP($C13,DATA_JAM_PELAJARAN!$C:$K,8,0),0)))</f>
        <v>0</v>
      </c>
      <c r="H13" s="32">
        <f>SUMPRODUCT((ABSENSI!D10:AQ10="Izin")*((ABSENSI!D$3:AQ$3="Senin")*IFERROR(VLOOKUP($C13,DATA_JAM_PELAJARAN!$C:$K,3,0),0)+(ABSENSI!D$3:AQ$3="Selasa")*IFERROR(VLOOKUP($C13,DATA_JAM_PELAJARAN!$C:$K,4,0),0)+(ABSENSI!D$3:AQ$3="Rabu")*IFERROR(VLOOKUP($C13,DATA_JAM_PELAJARAN!$C:$K,5,0),0)+(ABSENSI!D$3:AQ$3="Kamis")*IFERROR(VLOOKUP($C13,DATA_JAM_PELAJARAN!$C:$K,6,0),0)+(ABSENSI!D$3:AQ$3="Jumat")*IFERROR(VLOOKUP($C13,DATA_JAM_PELAJARAN!$C:$K,7,0),0)+(ABSENSI!D$3:AQ$3="Sabtu")*IFERROR(VLOOKUP($C13,DATA_JAM_PELAJARAN!$C:$K,8,0),0)))</f>
        <v>0</v>
      </c>
      <c r="I13" s="32">
        <f>SUMPRODUCT((ABSENSI!D10:AQ10="Tanpa Keterangan")*((ABSENSI!D$3:AQ$3="Senin")*IFERROR(VLOOKUP($C13,DATA_JAM_PELAJARAN!$C:$K,3,0),0)+(ABSENSI!D$3:AQ$3="Selasa")*IFERROR(VLOOKUP($C13,DATA_JAM_PELAJARAN!$C:$K,4,0),0)+(ABSENSI!D$3:AQ$3="Rabu")*IFERROR(VLOOKUP($C13,DATA_JAM_PELAJARAN!$C:$K,5,0),0)+(ABSENSI!D$3:AQ$3="Kamis")*IFERROR(VLOOKUP($C13,DATA_JAM_PELAJARAN!$C:$K,6,0),0)+(ABSENSI!D$3:AQ$3="Jumat")*IFERROR(VLOOKUP($C13,DATA_JAM_PELAJARAN!$C:$K,7,0),0)+(ABSENSI!D$3:AQ$3="Sabtu")*IFERROR(VLOOKUP($C13,DATA_JAM_PELAJARAN!$C:$K,8,0),0)))</f>
        <v>0</v>
      </c>
      <c r="J13" s="48">
        <f t="shared" si="0"/>
        <v>0</v>
      </c>
      <c r="K13" s="54">
        <f>COUNTIF(ABSENSI!D10:AQ10,"Mengajar")</f>
        <v>12</v>
      </c>
      <c r="L13" s="32">
        <f>COUNTIF(ABSENSI!D10:AQ10,"Sakit")</f>
        <v>0</v>
      </c>
      <c r="M13" s="32">
        <f>COUNTIF(ABSENSI!D10:AQ10,"Izin")</f>
        <v>0</v>
      </c>
      <c r="N13" s="32">
        <f>COUNTIF(ABSENSI!D10:AQ10,"Tanpa Keterangan")</f>
        <v>0</v>
      </c>
      <c r="O13" s="60">
        <f t="shared" si="1"/>
        <v>0.8571428571428571</v>
      </c>
      <c r="P13" s="16">
        <f>SUMPRODUCT((ABSENSI!D$3:AQ$3="Senin")*(IFERROR(VLOOKUP($C13,DATA_JAM_PELAJARAN!$C:$K,3,0),0)&gt;0)+(ABSENSI!D$3:AQ$3="Selasa")*(IFERROR(VLOOKUP($C13,DATA_JAM_PELAJARAN!$C:$K,4,0),0)&gt;0)+(ABSENSI!D$3:AQ$3="Rabu")*(IFERROR(VLOOKUP($C13,DATA_JAM_PELAJARAN!$C:$K,5,0),0)&gt;0)+(ABSENSI!D$3:AQ$3="Kamis")*(IFERROR(VLOOKUP($C13,DATA_JAM_PELAJARAN!$C:$K,6,0),0)&gt;0)+(ABSENSI!D$3:AQ$3="Jumat")*(IFERROR(VLOOKUP($C13,DATA_JAM_PELAJARAN!$C:$K,7,0),0)&gt;0)+(ABSENSI!D$3:AQ$3="Sabtu")*(IFERROR(VLOOKUP($C13,DATA_JAM_PELAJARAN!$C:$K,8,0),0)&gt;0))</f>
        <v>14</v>
      </c>
    </row>
    <row r="14" spans="2:17" ht="18" customHeight="1" x14ac:dyDescent="0.25">
      <c r="B14" s="44">
        <v>8</v>
      </c>
      <c r="C14" s="45" t="s">
        <v>38</v>
      </c>
      <c r="D14" s="46" t="s">
        <v>34</v>
      </c>
      <c r="E14" s="44">
        <f>SUMPRODUCT((ABSENSI!D$3:AQ$3="Senin")*IFERROR(VLOOKUP($C14,DATA_JAM_PELAJARAN!$C:$K,3,0),0)+(ABSENSI!D$3:AQ$3="Selasa")*IFERROR(VLOOKUP($C14,DATA_JAM_PELAJARAN!$C:$K,4,0),0)+(ABSENSI!D$3:AQ$3="Rabu")*IFERROR(VLOOKUP($C14,DATA_JAM_PELAJARAN!$C:$K,5,0),0)+(ABSENSI!D$3:AQ$3="Kamis")*IFERROR(VLOOKUP($C14,DATA_JAM_PELAJARAN!$C:$K,6,0),0)+(ABSENSI!D$3:AQ$3="Jumat")*IFERROR(VLOOKUP($C14,DATA_JAM_PELAJARAN!$C:$K,7,0),0)+(ABSENSI!D$3:AQ$3="Sabtu")*IFERROR(VLOOKUP($C14,DATA_JAM_PELAJARAN!$C:$K,8,0),0))</f>
        <v>111</v>
      </c>
      <c r="F14" s="53">
        <f>SUMPRODUCT((ABSENSI!D11:AQ11="Mengajar")*((ABSENSI!D$3:AQ$3="Senin")*IFERROR(VLOOKUP($C14,DATA_JAM_PELAJARAN!$C:$K,3,0),0)+(ABSENSI!D$3:AQ$3="Selasa")*IFERROR(VLOOKUP($C14,DATA_JAM_PELAJARAN!$C:$K,4,0),0)+(ABSENSI!D$3:AQ$3="Rabu")*IFERROR(VLOOKUP($C14,DATA_JAM_PELAJARAN!$C:$K,5,0),0)+(ABSENSI!D$3:AQ$3="Kamis")*IFERROR(VLOOKUP($C14,DATA_JAM_PELAJARAN!$C:$K,6,0),0)+(ABSENSI!D$3:AQ$3="Jumat")*IFERROR(VLOOKUP($C14,DATA_JAM_PELAJARAN!$C:$K,7,0),0)+(ABSENSI!D$3:AQ$3="Sabtu")*IFERROR(VLOOKUP($C14,DATA_JAM_PELAJARAN!$C:$K,8,0),0)))</f>
        <v>100</v>
      </c>
      <c r="G14" s="34">
        <f>SUMPRODUCT((ABSENSI!D11:AQ11="Sakit")*((ABSENSI!D$3:AQ$3="Senin")*IFERROR(VLOOKUP($C14,DATA_JAM_PELAJARAN!$C:$K,3,0),0)+(ABSENSI!D$3:AQ$3="Selasa")*IFERROR(VLOOKUP($C14,DATA_JAM_PELAJARAN!$C:$K,4,0),0)+(ABSENSI!D$3:AQ$3="Rabu")*IFERROR(VLOOKUP($C14,DATA_JAM_PELAJARAN!$C:$K,5,0),0)+(ABSENSI!D$3:AQ$3="Kamis")*IFERROR(VLOOKUP($C14,DATA_JAM_PELAJARAN!$C:$K,6,0),0)+(ABSENSI!D$3:AQ$3="Jumat")*IFERROR(VLOOKUP($C14,DATA_JAM_PELAJARAN!$C:$K,7,0),0)+(ABSENSI!D$3:AQ$3="Sabtu")*IFERROR(VLOOKUP($C14,DATA_JAM_PELAJARAN!$C:$K,8,0),0)))</f>
        <v>0</v>
      </c>
      <c r="H14" s="34">
        <f>SUMPRODUCT((ABSENSI!D11:AQ11="Izin")*((ABSENSI!D$3:AQ$3="Senin")*IFERROR(VLOOKUP($C14,DATA_JAM_PELAJARAN!$C:$K,3,0),0)+(ABSENSI!D$3:AQ$3="Selasa")*IFERROR(VLOOKUP($C14,DATA_JAM_PELAJARAN!$C:$K,4,0),0)+(ABSENSI!D$3:AQ$3="Rabu")*IFERROR(VLOOKUP($C14,DATA_JAM_PELAJARAN!$C:$K,5,0),0)+(ABSENSI!D$3:AQ$3="Kamis")*IFERROR(VLOOKUP($C14,DATA_JAM_PELAJARAN!$C:$K,6,0),0)+(ABSENSI!D$3:AQ$3="Jumat")*IFERROR(VLOOKUP($C14,DATA_JAM_PELAJARAN!$C:$K,7,0),0)+(ABSENSI!D$3:AQ$3="Sabtu")*IFERROR(VLOOKUP($C14,DATA_JAM_PELAJARAN!$C:$K,8,0),0)))</f>
        <v>0</v>
      </c>
      <c r="I14" s="34">
        <f>SUMPRODUCT((ABSENSI!D11:AQ11="Tanpa Keterangan")*((ABSENSI!D$3:AQ$3="Senin")*IFERROR(VLOOKUP($C14,DATA_JAM_PELAJARAN!$C:$K,3,0),0)+(ABSENSI!D$3:AQ$3="Selasa")*IFERROR(VLOOKUP($C14,DATA_JAM_PELAJARAN!$C:$K,4,0),0)+(ABSENSI!D$3:AQ$3="Rabu")*IFERROR(VLOOKUP($C14,DATA_JAM_PELAJARAN!$C:$K,5,0),0)+(ABSENSI!D$3:AQ$3="Kamis")*IFERROR(VLOOKUP($C14,DATA_JAM_PELAJARAN!$C:$K,6,0),0)+(ABSENSI!D$3:AQ$3="Jumat")*IFERROR(VLOOKUP($C14,DATA_JAM_PELAJARAN!$C:$K,7,0),0)+(ABSENSI!D$3:AQ$3="Sabtu")*IFERROR(VLOOKUP($C14,DATA_JAM_PELAJARAN!$C:$K,8,0),0)))</f>
        <v>0</v>
      </c>
      <c r="J14" s="49">
        <f t="shared" si="0"/>
        <v>0</v>
      </c>
      <c r="K14" s="55">
        <f>COUNTIF(ABSENSI!D11:AQ11,"Mengajar")</f>
        <v>16</v>
      </c>
      <c r="L14" s="34">
        <f>COUNTIF(ABSENSI!D11:AQ11,"Sakit")</f>
        <v>0</v>
      </c>
      <c r="M14" s="34">
        <f>COUNTIF(ABSENSI!D11:AQ11,"Izin")</f>
        <v>0</v>
      </c>
      <c r="N14" s="34">
        <f>COUNTIF(ABSENSI!D11:AQ11,"Tanpa Keterangan")</f>
        <v>0</v>
      </c>
      <c r="O14" s="61">
        <f t="shared" si="1"/>
        <v>0.90090090090090091</v>
      </c>
      <c r="P14" s="16">
        <f>SUMPRODUCT((ABSENSI!D$3:AQ$3="Senin")*(IFERROR(VLOOKUP($C14,DATA_JAM_PELAJARAN!$C:$K,3,0),0)&gt;0)+(ABSENSI!D$3:AQ$3="Selasa")*(IFERROR(VLOOKUP($C14,DATA_JAM_PELAJARAN!$C:$K,4,0),0)&gt;0)+(ABSENSI!D$3:AQ$3="Rabu")*(IFERROR(VLOOKUP($C14,DATA_JAM_PELAJARAN!$C:$K,5,0),0)&gt;0)+(ABSENSI!D$3:AQ$3="Kamis")*(IFERROR(VLOOKUP($C14,DATA_JAM_PELAJARAN!$C:$K,6,0),0)&gt;0)+(ABSENSI!D$3:AQ$3="Jumat")*(IFERROR(VLOOKUP($C14,DATA_JAM_PELAJARAN!$C:$K,7,0),0)&gt;0)+(ABSENSI!D$3:AQ$3="Sabtu")*(IFERROR(VLOOKUP($C14,DATA_JAM_PELAJARAN!$C:$K,8,0),0)&gt;0))</f>
        <v>18</v>
      </c>
    </row>
    <row r="15" spans="2:17" ht="18" customHeight="1" x14ac:dyDescent="0.25">
      <c r="B15" s="41">
        <v>9</v>
      </c>
      <c r="C15" s="42" t="s">
        <v>39</v>
      </c>
      <c r="D15" s="43" t="s">
        <v>26</v>
      </c>
      <c r="E15" s="41">
        <f>SUMPRODUCT((ABSENSI!D$3:AQ$3="Senin")*IFERROR(VLOOKUP($C15,DATA_JAM_PELAJARAN!$C:$K,3,0),0)+(ABSENSI!D$3:AQ$3="Selasa")*IFERROR(VLOOKUP($C15,DATA_JAM_PELAJARAN!$C:$K,4,0),0)+(ABSENSI!D$3:AQ$3="Rabu")*IFERROR(VLOOKUP($C15,DATA_JAM_PELAJARAN!$C:$K,5,0),0)+(ABSENSI!D$3:AQ$3="Kamis")*IFERROR(VLOOKUP($C15,DATA_JAM_PELAJARAN!$C:$K,6,0),0)+(ABSENSI!D$3:AQ$3="Jumat")*IFERROR(VLOOKUP($C15,DATA_JAM_PELAJARAN!$C:$K,7,0),0)+(ABSENSI!D$3:AQ$3="Sabtu")*IFERROR(VLOOKUP($C15,DATA_JAM_PELAJARAN!$C:$K,8,0),0))</f>
        <v>161</v>
      </c>
      <c r="F15" s="52">
        <f>SUMPRODUCT((ABSENSI!D12:AQ12="Mengajar")*((ABSENSI!D$3:AQ$3="Senin")*IFERROR(VLOOKUP($C15,DATA_JAM_PELAJARAN!$C:$K,3,0),0)+(ABSENSI!D$3:AQ$3="Selasa")*IFERROR(VLOOKUP($C15,DATA_JAM_PELAJARAN!$C:$K,4,0),0)+(ABSENSI!D$3:AQ$3="Rabu")*IFERROR(VLOOKUP($C15,DATA_JAM_PELAJARAN!$C:$K,5,0),0)+(ABSENSI!D$3:AQ$3="Kamis")*IFERROR(VLOOKUP($C15,DATA_JAM_PELAJARAN!$C:$K,6,0),0)+(ABSENSI!D$3:AQ$3="Jumat")*IFERROR(VLOOKUP($C15,DATA_JAM_PELAJARAN!$C:$K,7,0),0)+(ABSENSI!D$3:AQ$3="Sabtu")*IFERROR(VLOOKUP($C15,DATA_JAM_PELAJARAN!$C:$K,8,0),0)))</f>
        <v>140</v>
      </c>
      <c r="G15" s="32">
        <f>SUMPRODUCT((ABSENSI!D12:AQ12="Sakit")*((ABSENSI!D$3:AQ$3="Senin")*IFERROR(VLOOKUP($C15,DATA_JAM_PELAJARAN!$C:$K,3,0),0)+(ABSENSI!D$3:AQ$3="Selasa")*IFERROR(VLOOKUP($C15,DATA_JAM_PELAJARAN!$C:$K,4,0),0)+(ABSENSI!D$3:AQ$3="Rabu")*IFERROR(VLOOKUP($C15,DATA_JAM_PELAJARAN!$C:$K,5,0),0)+(ABSENSI!D$3:AQ$3="Kamis")*IFERROR(VLOOKUP($C15,DATA_JAM_PELAJARAN!$C:$K,6,0),0)+(ABSENSI!D$3:AQ$3="Jumat")*IFERROR(VLOOKUP($C15,DATA_JAM_PELAJARAN!$C:$K,7,0),0)+(ABSENSI!D$3:AQ$3="Sabtu")*IFERROR(VLOOKUP($C15,DATA_JAM_PELAJARAN!$C:$K,8,0),0)))</f>
        <v>0</v>
      </c>
      <c r="H15" s="32">
        <f>SUMPRODUCT((ABSENSI!D12:AQ12="Izin")*((ABSENSI!D$3:AQ$3="Senin")*IFERROR(VLOOKUP($C15,DATA_JAM_PELAJARAN!$C:$K,3,0),0)+(ABSENSI!D$3:AQ$3="Selasa")*IFERROR(VLOOKUP($C15,DATA_JAM_PELAJARAN!$C:$K,4,0),0)+(ABSENSI!D$3:AQ$3="Rabu")*IFERROR(VLOOKUP($C15,DATA_JAM_PELAJARAN!$C:$K,5,0),0)+(ABSENSI!D$3:AQ$3="Kamis")*IFERROR(VLOOKUP($C15,DATA_JAM_PELAJARAN!$C:$K,6,0),0)+(ABSENSI!D$3:AQ$3="Jumat")*IFERROR(VLOOKUP($C15,DATA_JAM_PELAJARAN!$C:$K,7,0),0)+(ABSENSI!D$3:AQ$3="Sabtu")*IFERROR(VLOOKUP($C15,DATA_JAM_PELAJARAN!$C:$K,8,0),0)))</f>
        <v>0</v>
      </c>
      <c r="I15" s="32">
        <f>SUMPRODUCT((ABSENSI!D12:AQ12="Tanpa Keterangan")*((ABSENSI!D$3:AQ$3="Senin")*IFERROR(VLOOKUP($C15,DATA_JAM_PELAJARAN!$C:$K,3,0),0)+(ABSENSI!D$3:AQ$3="Selasa")*IFERROR(VLOOKUP($C15,DATA_JAM_PELAJARAN!$C:$K,4,0),0)+(ABSENSI!D$3:AQ$3="Rabu")*IFERROR(VLOOKUP($C15,DATA_JAM_PELAJARAN!$C:$K,5,0),0)+(ABSENSI!D$3:AQ$3="Kamis")*IFERROR(VLOOKUP($C15,DATA_JAM_PELAJARAN!$C:$K,6,0),0)+(ABSENSI!D$3:AQ$3="Jumat")*IFERROR(VLOOKUP($C15,DATA_JAM_PELAJARAN!$C:$K,7,0),0)+(ABSENSI!D$3:AQ$3="Sabtu")*IFERROR(VLOOKUP($C15,DATA_JAM_PELAJARAN!$C:$K,8,0),0)))</f>
        <v>0</v>
      </c>
      <c r="J15" s="48">
        <f t="shared" si="0"/>
        <v>0</v>
      </c>
      <c r="K15" s="54">
        <f>COUNTIF(ABSENSI!D12:AQ12,"Mengajar")</f>
        <v>20</v>
      </c>
      <c r="L15" s="32">
        <f>COUNTIF(ABSENSI!D12:AQ12,"Sakit")</f>
        <v>0</v>
      </c>
      <c r="M15" s="32">
        <f>COUNTIF(ABSENSI!D12:AQ12,"Izin")</f>
        <v>0</v>
      </c>
      <c r="N15" s="32">
        <f>COUNTIF(ABSENSI!D12:AQ12,"Tanpa Keterangan")</f>
        <v>0</v>
      </c>
      <c r="O15" s="60">
        <f t="shared" si="1"/>
        <v>0.86956521739130432</v>
      </c>
      <c r="P15" s="16">
        <f>SUMPRODUCT((ABSENSI!D$3:AQ$3="Senin")*(IFERROR(VLOOKUP($C15,DATA_JAM_PELAJARAN!$C:$K,3,0),0)&gt;0)+(ABSENSI!D$3:AQ$3="Selasa")*(IFERROR(VLOOKUP($C15,DATA_JAM_PELAJARAN!$C:$K,4,0),0)&gt;0)+(ABSENSI!D$3:AQ$3="Rabu")*(IFERROR(VLOOKUP($C15,DATA_JAM_PELAJARAN!$C:$K,5,0),0)&gt;0)+(ABSENSI!D$3:AQ$3="Kamis")*(IFERROR(VLOOKUP($C15,DATA_JAM_PELAJARAN!$C:$K,6,0),0)&gt;0)+(ABSENSI!D$3:AQ$3="Jumat")*(IFERROR(VLOOKUP($C15,DATA_JAM_PELAJARAN!$C:$K,7,0),0)&gt;0)+(ABSENSI!D$3:AQ$3="Sabtu")*(IFERROR(VLOOKUP($C15,DATA_JAM_PELAJARAN!$C:$K,8,0),0)&gt;0))</f>
        <v>23</v>
      </c>
    </row>
    <row r="16" spans="2:17" ht="18" customHeight="1" x14ac:dyDescent="0.25">
      <c r="B16" s="44">
        <v>10</v>
      </c>
      <c r="C16" s="45" t="s">
        <v>40</v>
      </c>
      <c r="D16" s="46" t="s">
        <v>32</v>
      </c>
      <c r="E16" s="44">
        <f>SUMPRODUCT((ABSENSI!D$3:AQ$3="Senin")*IFERROR(VLOOKUP($C16,DATA_JAM_PELAJARAN!$C:$K,3,0),0)+(ABSENSI!D$3:AQ$3="Selasa")*IFERROR(VLOOKUP($C16,DATA_JAM_PELAJARAN!$C:$K,4,0),0)+(ABSENSI!D$3:AQ$3="Rabu")*IFERROR(VLOOKUP($C16,DATA_JAM_PELAJARAN!$C:$K,5,0),0)+(ABSENSI!D$3:AQ$3="Kamis")*IFERROR(VLOOKUP($C16,DATA_JAM_PELAJARAN!$C:$K,6,0),0)+(ABSENSI!D$3:AQ$3="Jumat")*IFERROR(VLOOKUP($C16,DATA_JAM_PELAJARAN!$C:$K,7,0),0)+(ABSENSI!D$3:AQ$3="Sabtu")*IFERROR(VLOOKUP($C16,DATA_JAM_PELAJARAN!$C:$K,8,0),0))</f>
        <v>74</v>
      </c>
      <c r="F16" s="53">
        <f>SUMPRODUCT((ABSENSI!D13:AQ13="Mengajar")*((ABSENSI!D$3:AQ$3="Senin")*IFERROR(VLOOKUP($C16,DATA_JAM_PELAJARAN!$C:$K,3,0),0)+(ABSENSI!D$3:AQ$3="Selasa")*IFERROR(VLOOKUP($C16,DATA_JAM_PELAJARAN!$C:$K,4,0),0)+(ABSENSI!D$3:AQ$3="Rabu")*IFERROR(VLOOKUP($C16,DATA_JAM_PELAJARAN!$C:$K,5,0),0)+(ABSENSI!D$3:AQ$3="Kamis")*IFERROR(VLOOKUP($C16,DATA_JAM_PELAJARAN!$C:$K,6,0),0)+(ABSENSI!D$3:AQ$3="Jumat")*IFERROR(VLOOKUP($C16,DATA_JAM_PELAJARAN!$C:$K,7,0),0)+(ABSENSI!D$3:AQ$3="Sabtu")*IFERROR(VLOOKUP($C16,DATA_JAM_PELAJARAN!$C:$K,8,0),0)))</f>
        <v>64</v>
      </c>
      <c r="G16" s="34">
        <f>SUMPRODUCT((ABSENSI!D13:AQ13="Sakit")*((ABSENSI!D$3:AQ$3="Senin")*IFERROR(VLOOKUP($C16,DATA_JAM_PELAJARAN!$C:$K,3,0),0)+(ABSENSI!D$3:AQ$3="Selasa")*IFERROR(VLOOKUP($C16,DATA_JAM_PELAJARAN!$C:$K,4,0),0)+(ABSENSI!D$3:AQ$3="Rabu")*IFERROR(VLOOKUP($C16,DATA_JAM_PELAJARAN!$C:$K,5,0),0)+(ABSENSI!D$3:AQ$3="Kamis")*IFERROR(VLOOKUP($C16,DATA_JAM_PELAJARAN!$C:$K,6,0),0)+(ABSENSI!D$3:AQ$3="Jumat")*IFERROR(VLOOKUP($C16,DATA_JAM_PELAJARAN!$C:$K,7,0),0)+(ABSENSI!D$3:AQ$3="Sabtu")*IFERROR(VLOOKUP($C16,DATA_JAM_PELAJARAN!$C:$K,8,0),0)))</f>
        <v>0</v>
      </c>
      <c r="H16" s="34">
        <f>SUMPRODUCT((ABSENSI!D13:AQ13="Izin")*((ABSENSI!D$3:AQ$3="Senin")*IFERROR(VLOOKUP($C16,DATA_JAM_PELAJARAN!$C:$K,3,0),0)+(ABSENSI!D$3:AQ$3="Selasa")*IFERROR(VLOOKUP($C16,DATA_JAM_PELAJARAN!$C:$K,4,0),0)+(ABSENSI!D$3:AQ$3="Rabu")*IFERROR(VLOOKUP($C16,DATA_JAM_PELAJARAN!$C:$K,5,0),0)+(ABSENSI!D$3:AQ$3="Kamis")*IFERROR(VLOOKUP($C16,DATA_JAM_PELAJARAN!$C:$K,6,0),0)+(ABSENSI!D$3:AQ$3="Jumat")*IFERROR(VLOOKUP($C16,DATA_JAM_PELAJARAN!$C:$K,7,0),0)+(ABSENSI!D$3:AQ$3="Sabtu")*IFERROR(VLOOKUP($C16,DATA_JAM_PELAJARAN!$C:$K,8,0),0)))</f>
        <v>0</v>
      </c>
      <c r="I16" s="34">
        <f>SUMPRODUCT((ABSENSI!D13:AQ13="Tanpa Keterangan")*((ABSENSI!D$3:AQ$3="Senin")*IFERROR(VLOOKUP($C16,DATA_JAM_PELAJARAN!$C:$K,3,0),0)+(ABSENSI!D$3:AQ$3="Selasa")*IFERROR(VLOOKUP($C16,DATA_JAM_PELAJARAN!$C:$K,4,0),0)+(ABSENSI!D$3:AQ$3="Rabu")*IFERROR(VLOOKUP($C16,DATA_JAM_PELAJARAN!$C:$K,5,0),0)+(ABSENSI!D$3:AQ$3="Kamis")*IFERROR(VLOOKUP($C16,DATA_JAM_PELAJARAN!$C:$K,6,0),0)+(ABSENSI!D$3:AQ$3="Jumat")*IFERROR(VLOOKUP($C16,DATA_JAM_PELAJARAN!$C:$K,7,0),0)+(ABSENSI!D$3:AQ$3="Sabtu")*IFERROR(VLOOKUP($C16,DATA_JAM_PELAJARAN!$C:$K,8,0),0)))</f>
        <v>0</v>
      </c>
      <c r="J16" s="49">
        <f t="shared" si="0"/>
        <v>0</v>
      </c>
      <c r="K16" s="55">
        <f>COUNTIF(ABSENSI!D13:AQ13,"Mengajar")</f>
        <v>16</v>
      </c>
      <c r="L16" s="34">
        <f>COUNTIF(ABSENSI!D13:AQ13,"Sakit")</f>
        <v>0</v>
      </c>
      <c r="M16" s="34">
        <f>COUNTIF(ABSENSI!D13:AQ13,"Izin")</f>
        <v>0</v>
      </c>
      <c r="N16" s="34">
        <f>COUNTIF(ABSENSI!D13:AQ13,"Tanpa Keterangan")</f>
        <v>0</v>
      </c>
      <c r="O16" s="61">
        <f t="shared" si="1"/>
        <v>0.86486486486486491</v>
      </c>
      <c r="P16" s="16">
        <f>SUMPRODUCT((ABSENSI!D$3:AQ$3="Senin")*(IFERROR(VLOOKUP($C16,DATA_JAM_PELAJARAN!$C:$K,3,0),0)&gt;0)+(ABSENSI!D$3:AQ$3="Selasa")*(IFERROR(VLOOKUP($C16,DATA_JAM_PELAJARAN!$C:$K,4,0),0)&gt;0)+(ABSENSI!D$3:AQ$3="Rabu")*(IFERROR(VLOOKUP($C16,DATA_JAM_PELAJARAN!$C:$K,5,0),0)&gt;0)+(ABSENSI!D$3:AQ$3="Kamis")*(IFERROR(VLOOKUP($C16,DATA_JAM_PELAJARAN!$C:$K,6,0),0)&gt;0)+(ABSENSI!D$3:AQ$3="Jumat")*(IFERROR(VLOOKUP($C16,DATA_JAM_PELAJARAN!$C:$K,7,0),0)&gt;0)+(ABSENSI!D$3:AQ$3="Sabtu")*(IFERROR(VLOOKUP($C16,DATA_JAM_PELAJARAN!$C:$K,8,0),0)&gt;0))</f>
        <v>18</v>
      </c>
    </row>
    <row r="17" spans="2:16" ht="18" customHeight="1" x14ac:dyDescent="0.25">
      <c r="B17" s="41">
        <v>11</v>
      </c>
      <c r="C17" s="42" t="s">
        <v>41</v>
      </c>
      <c r="D17" s="43" t="s">
        <v>42</v>
      </c>
      <c r="E17" s="41">
        <f>SUMPRODUCT((ABSENSI!D$3:AQ$3="Senin")*IFERROR(VLOOKUP($C17,DATA_JAM_PELAJARAN!$C:$K,3,0),0)+(ABSENSI!D$3:AQ$3="Selasa")*IFERROR(VLOOKUP($C17,DATA_JAM_PELAJARAN!$C:$K,4,0),0)+(ABSENSI!D$3:AQ$3="Rabu")*IFERROR(VLOOKUP($C17,DATA_JAM_PELAJARAN!$C:$K,5,0),0)+(ABSENSI!D$3:AQ$3="Kamis")*IFERROR(VLOOKUP($C17,DATA_JAM_PELAJARAN!$C:$K,6,0),0)+(ABSENSI!D$3:AQ$3="Jumat")*IFERROR(VLOOKUP($C17,DATA_JAM_PELAJARAN!$C:$K,7,0),0)+(ABSENSI!D$3:AQ$3="Sabtu")*IFERROR(VLOOKUP($C17,DATA_JAM_PELAJARAN!$C:$K,8,0),0))</f>
        <v>77</v>
      </c>
      <c r="F17" s="52">
        <f>SUMPRODUCT((ABSENSI!D14:AQ14="Mengajar")*((ABSENSI!D$3:AQ$3="Senin")*IFERROR(VLOOKUP($C17,DATA_JAM_PELAJARAN!$C:$K,3,0),0)+(ABSENSI!D$3:AQ$3="Selasa")*IFERROR(VLOOKUP($C17,DATA_JAM_PELAJARAN!$C:$K,4,0),0)+(ABSENSI!D$3:AQ$3="Rabu")*IFERROR(VLOOKUP($C17,DATA_JAM_PELAJARAN!$C:$K,5,0),0)+(ABSENSI!D$3:AQ$3="Kamis")*IFERROR(VLOOKUP($C17,DATA_JAM_PELAJARAN!$C:$K,6,0),0)+(ABSENSI!D$3:AQ$3="Jumat")*IFERROR(VLOOKUP($C17,DATA_JAM_PELAJARAN!$C:$K,7,0),0)+(ABSENSI!D$3:AQ$3="Sabtu")*IFERROR(VLOOKUP($C17,DATA_JAM_PELAJARAN!$C:$K,8,0),0)))</f>
        <v>64</v>
      </c>
      <c r="G17" s="32">
        <f>SUMPRODUCT((ABSENSI!D14:AQ14="Sakit")*((ABSENSI!D$3:AQ$3="Senin")*IFERROR(VLOOKUP($C17,DATA_JAM_PELAJARAN!$C:$K,3,0),0)+(ABSENSI!D$3:AQ$3="Selasa")*IFERROR(VLOOKUP($C17,DATA_JAM_PELAJARAN!$C:$K,4,0),0)+(ABSENSI!D$3:AQ$3="Rabu")*IFERROR(VLOOKUP($C17,DATA_JAM_PELAJARAN!$C:$K,5,0),0)+(ABSENSI!D$3:AQ$3="Kamis")*IFERROR(VLOOKUP($C17,DATA_JAM_PELAJARAN!$C:$K,6,0),0)+(ABSENSI!D$3:AQ$3="Jumat")*IFERROR(VLOOKUP($C17,DATA_JAM_PELAJARAN!$C:$K,7,0),0)+(ABSENSI!D$3:AQ$3="Sabtu")*IFERROR(VLOOKUP($C17,DATA_JAM_PELAJARAN!$C:$K,8,0),0)))</f>
        <v>0</v>
      </c>
      <c r="H17" s="32">
        <f>SUMPRODUCT((ABSENSI!D14:AQ14="Izin")*((ABSENSI!D$3:AQ$3="Senin")*IFERROR(VLOOKUP($C17,DATA_JAM_PELAJARAN!$C:$K,3,0),0)+(ABSENSI!D$3:AQ$3="Selasa")*IFERROR(VLOOKUP($C17,DATA_JAM_PELAJARAN!$C:$K,4,0),0)+(ABSENSI!D$3:AQ$3="Rabu")*IFERROR(VLOOKUP($C17,DATA_JAM_PELAJARAN!$C:$K,5,0),0)+(ABSENSI!D$3:AQ$3="Kamis")*IFERROR(VLOOKUP($C17,DATA_JAM_PELAJARAN!$C:$K,6,0),0)+(ABSENSI!D$3:AQ$3="Jumat")*IFERROR(VLOOKUP($C17,DATA_JAM_PELAJARAN!$C:$K,7,0),0)+(ABSENSI!D$3:AQ$3="Sabtu")*IFERROR(VLOOKUP($C17,DATA_JAM_PELAJARAN!$C:$K,8,0),0)))</f>
        <v>0</v>
      </c>
      <c r="I17" s="32">
        <f>SUMPRODUCT((ABSENSI!D14:AQ14="Tanpa Keterangan")*((ABSENSI!D$3:AQ$3="Senin")*IFERROR(VLOOKUP($C17,DATA_JAM_PELAJARAN!$C:$K,3,0),0)+(ABSENSI!D$3:AQ$3="Selasa")*IFERROR(VLOOKUP($C17,DATA_JAM_PELAJARAN!$C:$K,4,0),0)+(ABSENSI!D$3:AQ$3="Rabu")*IFERROR(VLOOKUP($C17,DATA_JAM_PELAJARAN!$C:$K,5,0),0)+(ABSENSI!D$3:AQ$3="Kamis")*IFERROR(VLOOKUP($C17,DATA_JAM_PELAJARAN!$C:$K,6,0),0)+(ABSENSI!D$3:AQ$3="Jumat")*IFERROR(VLOOKUP($C17,DATA_JAM_PELAJARAN!$C:$K,7,0),0)+(ABSENSI!D$3:AQ$3="Sabtu")*IFERROR(VLOOKUP($C17,DATA_JAM_PELAJARAN!$C:$K,8,0),0)))</f>
        <v>0</v>
      </c>
      <c r="J17" s="48">
        <f t="shared" si="0"/>
        <v>0</v>
      </c>
      <c r="K17" s="54">
        <f>COUNTIF(ABSENSI!D14:AQ14,"Mengajar")</f>
        <v>16</v>
      </c>
      <c r="L17" s="32">
        <f>COUNTIF(ABSENSI!D14:AQ14,"Sakit")</f>
        <v>0</v>
      </c>
      <c r="M17" s="32">
        <f>COUNTIF(ABSENSI!D14:AQ14,"Izin")</f>
        <v>0</v>
      </c>
      <c r="N17" s="32">
        <f>COUNTIF(ABSENSI!D14:AQ14,"Tanpa Keterangan")</f>
        <v>0</v>
      </c>
      <c r="O17" s="60">
        <f t="shared" si="1"/>
        <v>0.83116883116883122</v>
      </c>
      <c r="P17" s="16">
        <f>SUMPRODUCT((ABSENSI!D$3:AQ$3="Senin")*(IFERROR(VLOOKUP($C17,DATA_JAM_PELAJARAN!$C:$K,3,0),0)&gt;0)+(ABSENSI!D$3:AQ$3="Selasa")*(IFERROR(VLOOKUP($C17,DATA_JAM_PELAJARAN!$C:$K,4,0),0)&gt;0)+(ABSENSI!D$3:AQ$3="Rabu")*(IFERROR(VLOOKUP($C17,DATA_JAM_PELAJARAN!$C:$K,5,0),0)&gt;0)+(ABSENSI!D$3:AQ$3="Kamis")*(IFERROR(VLOOKUP($C17,DATA_JAM_PELAJARAN!$C:$K,6,0),0)&gt;0)+(ABSENSI!D$3:AQ$3="Jumat")*(IFERROR(VLOOKUP($C17,DATA_JAM_PELAJARAN!$C:$K,7,0),0)&gt;0)+(ABSENSI!D$3:AQ$3="Sabtu")*(IFERROR(VLOOKUP($C17,DATA_JAM_PELAJARAN!$C:$K,8,0),0)&gt;0))</f>
        <v>19</v>
      </c>
    </row>
    <row r="18" spans="2:16" ht="18" customHeight="1" x14ac:dyDescent="0.25">
      <c r="B18" s="44">
        <v>12</v>
      </c>
      <c r="C18" s="45" t="s">
        <v>43</v>
      </c>
      <c r="D18" s="46" t="s">
        <v>44</v>
      </c>
      <c r="E18" s="44">
        <f>SUMPRODUCT((ABSENSI!D$3:AQ$3="Senin")*IFERROR(VLOOKUP($C18,DATA_JAM_PELAJARAN!$C:$K,3,0),0)+(ABSENSI!D$3:AQ$3="Selasa")*IFERROR(VLOOKUP($C18,DATA_JAM_PELAJARAN!$C:$K,4,0),0)+(ABSENSI!D$3:AQ$3="Rabu")*IFERROR(VLOOKUP($C18,DATA_JAM_PELAJARAN!$C:$K,5,0),0)+(ABSENSI!D$3:AQ$3="Kamis")*IFERROR(VLOOKUP($C18,DATA_JAM_PELAJARAN!$C:$K,6,0),0)+(ABSENSI!D$3:AQ$3="Jumat")*IFERROR(VLOOKUP($C18,DATA_JAM_PELAJARAN!$C:$K,7,0),0)+(ABSENSI!D$3:AQ$3="Sabtu")*IFERROR(VLOOKUP($C18,DATA_JAM_PELAJARAN!$C:$K,8,0),0))</f>
        <v>66</v>
      </c>
      <c r="F18" s="53">
        <f>SUMPRODUCT((ABSENSI!D15:AQ15="Mengajar")*((ABSENSI!D$3:AQ$3="Senin")*IFERROR(VLOOKUP($C18,DATA_JAM_PELAJARAN!$C:$K,3,0),0)+(ABSENSI!D$3:AQ$3="Selasa")*IFERROR(VLOOKUP($C18,DATA_JAM_PELAJARAN!$C:$K,4,0),0)+(ABSENSI!D$3:AQ$3="Rabu")*IFERROR(VLOOKUP($C18,DATA_JAM_PELAJARAN!$C:$K,5,0),0)+(ABSENSI!D$3:AQ$3="Kamis")*IFERROR(VLOOKUP($C18,DATA_JAM_PELAJARAN!$C:$K,6,0),0)+(ABSENSI!D$3:AQ$3="Jumat")*IFERROR(VLOOKUP($C18,DATA_JAM_PELAJARAN!$C:$K,7,0),0)+(ABSENSI!D$3:AQ$3="Sabtu")*IFERROR(VLOOKUP($C18,DATA_JAM_PELAJARAN!$C:$K,8,0),0)))</f>
        <v>56</v>
      </c>
      <c r="G18" s="34">
        <f>SUMPRODUCT((ABSENSI!D15:AQ15="Sakit")*((ABSENSI!D$3:AQ$3="Senin")*IFERROR(VLOOKUP($C18,DATA_JAM_PELAJARAN!$C:$K,3,0),0)+(ABSENSI!D$3:AQ$3="Selasa")*IFERROR(VLOOKUP($C18,DATA_JAM_PELAJARAN!$C:$K,4,0),0)+(ABSENSI!D$3:AQ$3="Rabu")*IFERROR(VLOOKUP($C18,DATA_JAM_PELAJARAN!$C:$K,5,0),0)+(ABSENSI!D$3:AQ$3="Kamis")*IFERROR(VLOOKUP($C18,DATA_JAM_PELAJARAN!$C:$K,6,0),0)+(ABSENSI!D$3:AQ$3="Jumat")*IFERROR(VLOOKUP($C18,DATA_JAM_PELAJARAN!$C:$K,7,0),0)+(ABSENSI!D$3:AQ$3="Sabtu")*IFERROR(VLOOKUP($C18,DATA_JAM_PELAJARAN!$C:$K,8,0),0)))</f>
        <v>0</v>
      </c>
      <c r="H18" s="34">
        <f>SUMPRODUCT((ABSENSI!D15:AQ15="Izin")*((ABSENSI!D$3:AQ$3="Senin")*IFERROR(VLOOKUP($C18,DATA_JAM_PELAJARAN!$C:$K,3,0),0)+(ABSENSI!D$3:AQ$3="Selasa")*IFERROR(VLOOKUP($C18,DATA_JAM_PELAJARAN!$C:$K,4,0),0)+(ABSENSI!D$3:AQ$3="Rabu")*IFERROR(VLOOKUP($C18,DATA_JAM_PELAJARAN!$C:$K,5,0),0)+(ABSENSI!D$3:AQ$3="Kamis")*IFERROR(VLOOKUP($C18,DATA_JAM_PELAJARAN!$C:$K,6,0),0)+(ABSENSI!D$3:AQ$3="Jumat")*IFERROR(VLOOKUP($C18,DATA_JAM_PELAJARAN!$C:$K,7,0),0)+(ABSENSI!D$3:AQ$3="Sabtu")*IFERROR(VLOOKUP($C18,DATA_JAM_PELAJARAN!$C:$K,8,0),0)))</f>
        <v>0</v>
      </c>
      <c r="I18" s="34">
        <f>SUMPRODUCT((ABSENSI!D15:AQ15="Tanpa Keterangan")*((ABSENSI!D$3:AQ$3="Senin")*IFERROR(VLOOKUP($C18,DATA_JAM_PELAJARAN!$C:$K,3,0),0)+(ABSENSI!D$3:AQ$3="Selasa")*IFERROR(VLOOKUP($C18,DATA_JAM_PELAJARAN!$C:$K,4,0),0)+(ABSENSI!D$3:AQ$3="Rabu")*IFERROR(VLOOKUP($C18,DATA_JAM_PELAJARAN!$C:$K,5,0),0)+(ABSENSI!D$3:AQ$3="Kamis")*IFERROR(VLOOKUP($C18,DATA_JAM_PELAJARAN!$C:$K,6,0),0)+(ABSENSI!D$3:AQ$3="Jumat")*IFERROR(VLOOKUP($C18,DATA_JAM_PELAJARAN!$C:$K,7,0),0)+(ABSENSI!D$3:AQ$3="Sabtu")*IFERROR(VLOOKUP($C18,DATA_JAM_PELAJARAN!$C:$K,8,0),0)))</f>
        <v>0</v>
      </c>
      <c r="J18" s="49">
        <f t="shared" si="0"/>
        <v>0</v>
      </c>
      <c r="K18" s="55">
        <f>COUNTIF(ABSENSI!D15:AQ15,"Mengajar")</f>
        <v>16</v>
      </c>
      <c r="L18" s="34">
        <f>COUNTIF(ABSENSI!D15:AQ15,"Sakit")</f>
        <v>0</v>
      </c>
      <c r="M18" s="34">
        <f>COUNTIF(ABSENSI!D15:AQ15,"Izin")</f>
        <v>0</v>
      </c>
      <c r="N18" s="34">
        <f>COUNTIF(ABSENSI!D15:AQ15,"Tanpa Keterangan")</f>
        <v>0</v>
      </c>
      <c r="O18" s="61">
        <f t="shared" si="1"/>
        <v>0.84848484848484851</v>
      </c>
      <c r="P18" s="16">
        <f>SUMPRODUCT((ABSENSI!D$3:AQ$3="Senin")*(IFERROR(VLOOKUP($C18,DATA_JAM_PELAJARAN!$C:$K,3,0),0)&gt;0)+(ABSENSI!D$3:AQ$3="Selasa")*(IFERROR(VLOOKUP($C18,DATA_JAM_PELAJARAN!$C:$K,4,0),0)&gt;0)+(ABSENSI!D$3:AQ$3="Rabu")*(IFERROR(VLOOKUP($C18,DATA_JAM_PELAJARAN!$C:$K,5,0),0)&gt;0)+(ABSENSI!D$3:AQ$3="Kamis")*(IFERROR(VLOOKUP($C18,DATA_JAM_PELAJARAN!$C:$K,6,0),0)&gt;0)+(ABSENSI!D$3:AQ$3="Jumat")*(IFERROR(VLOOKUP($C18,DATA_JAM_PELAJARAN!$C:$K,7,0),0)&gt;0)+(ABSENSI!D$3:AQ$3="Sabtu")*(IFERROR(VLOOKUP($C18,DATA_JAM_PELAJARAN!$C:$K,8,0),0)&gt;0))</f>
        <v>19</v>
      </c>
    </row>
    <row r="19" spans="2:16" ht="18" customHeight="1" x14ac:dyDescent="0.25">
      <c r="B19" s="41">
        <v>13</v>
      </c>
      <c r="C19" s="42" t="s">
        <v>45</v>
      </c>
      <c r="D19" s="43" t="s">
        <v>46</v>
      </c>
      <c r="E19" s="41">
        <f>SUMPRODUCT((ABSENSI!D$3:AQ$3="Senin")*IFERROR(VLOOKUP($C19,DATA_JAM_PELAJARAN!$C:$K,3,0),0)+(ABSENSI!D$3:AQ$3="Selasa")*IFERROR(VLOOKUP($C19,DATA_JAM_PELAJARAN!$C:$K,4,0),0)+(ABSENSI!D$3:AQ$3="Rabu")*IFERROR(VLOOKUP($C19,DATA_JAM_PELAJARAN!$C:$K,5,0),0)+(ABSENSI!D$3:AQ$3="Kamis")*IFERROR(VLOOKUP($C19,DATA_JAM_PELAJARAN!$C:$K,6,0),0)+(ABSENSI!D$3:AQ$3="Jumat")*IFERROR(VLOOKUP($C19,DATA_JAM_PELAJARAN!$C:$K,7,0),0)+(ABSENSI!D$3:AQ$3="Sabtu")*IFERROR(VLOOKUP($C19,DATA_JAM_PELAJARAN!$C:$K,8,0),0))</f>
        <v>72</v>
      </c>
      <c r="F19" s="52">
        <f>SUMPRODUCT((ABSENSI!D16:AQ16="Mengajar")*((ABSENSI!D$3:AQ$3="Senin")*IFERROR(VLOOKUP($C19,DATA_JAM_PELAJARAN!$C:$K,3,0),0)+(ABSENSI!D$3:AQ$3="Selasa")*IFERROR(VLOOKUP($C19,DATA_JAM_PELAJARAN!$C:$K,4,0),0)+(ABSENSI!D$3:AQ$3="Rabu")*IFERROR(VLOOKUP($C19,DATA_JAM_PELAJARAN!$C:$K,5,0),0)+(ABSENSI!D$3:AQ$3="Kamis")*IFERROR(VLOOKUP($C19,DATA_JAM_PELAJARAN!$C:$K,6,0),0)+(ABSENSI!D$3:AQ$3="Jumat")*IFERROR(VLOOKUP($C19,DATA_JAM_PELAJARAN!$C:$K,7,0),0)+(ABSENSI!D$3:AQ$3="Sabtu")*IFERROR(VLOOKUP($C19,DATA_JAM_PELAJARAN!$C:$K,8,0),0)))</f>
        <v>60</v>
      </c>
      <c r="G19" s="32">
        <f>SUMPRODUCT((ABSENSI!D16:AQ16="Sakit")*((ABSENSI!D$3:AQ$3="Senin")*IFERROR(VLOOKUP($C19,DATA_JAM_PELAJARAN!$C:$K,3,0),0)+(ABSENSI!D$3:AQ$3="Selasa")*IFERROR(VLOOKUP($C19,DATA_JAM_PELAJARAN!$C:$K,4,0),0)+(ABSENSI!D$3:AQ$3="Rabu")*IFERROR(VLOOKUP($C19,DATA_JAM_PELAJARAN!$C:$K,5,0),0)+(ABSENSI!D$3:AQ$3="Kamis")*IFERROR(VLOOKUP($C19,DATA_JAM_PELAJARAN!$C:$K,6,0),0)+(ABSENSI!D$3:AQ$3="Jumat")*IFERROR(VLOOKUP($C19,DATA_JAM_PELAJARAN!$C:$K,7,0),0)+(ABSENSI!D$3:AQ$3="Sabtu")*IFERROR(VLOOKUP($C19,DATA_JAM_PELAJARAN!$C:$K,8,0),0)))</f>
        <v>0</v>
      </c>
      <c r="H19" s="32">
        <f>SUMPRODUCT((ABSENSI!D16:AQ16="Izin")*((ABSENSI!D$3:AQ$3="Senin")*IFERROR(VLOOKUP($C19,DATA_JAM_PELAJARAN!$C:$K,3,0),0)+(ABSENSI!D$3:AQ$3="Selasa")*IFERROR(VLOOKUP($C19,DATA_JAM_PELAJARAN!$C:$K,4,0),0)+(ABSENSI!D$3:AQ$3="Rabu")*IFERROR(VLOOKUP($C19,DATA_JAM_PELAJARAN!$C:$K,5,0),0)+(ABSENSI!D$3:AQ$3="Kamis")*IFERROR(VLOOKUP($C19,DATA_JAM_PELAJARAN!$C:$K,6,0),0)+(ABSENSI!D$3:AQ$3="Jumat")*IFERROR(VLOOKUP($C19,DATA_JAM_PELAJARAN!$C:$K,7,0),0)+(ABSENSI!D$3:AQ$3="Sabtu")*IFERROR(VLOOKUP($C19,DATA_JAM_PELAJARAN!$C:$K,8,0),0)))</f>
        <v>0</v>
      </c>
      <c r="I19" s="32">
        <f>SUMPRODUCT((ABSENSI!D16:AQ16="Tanpa Keterangan")*((ABSENSI!D$3:AQ$3="Senin")*IFERROR(VLOOKUP($C19,DATA_JAM_PELAJARAN!$C:$K,3,0),0)+(ABSENSI!D$3:AQ$3="Selasa")*IFERROR(VLOOKUP($C19,DATA_JAM_PELAJARAN!$C:$K,4,0),0)+(ABSENSI!D$3:AQ$3="Rabu")*IFERROR(VLOOKUP($C19,DATA_JAM_PELAJARAN!$C:$K,5,0),0)+(ABSENSI!D$3:AQ$3="Kamis")*IFERROR(VLOOKUP($C19,DATA_JAM_PELAJARAN!$C:$K,6,0),0)+(ABSENSI!D$3:AQ$3="Jumat")*IFERROR(VLOOKUP($C19,DATA_JAM_PELAJARAN!$C:$K,7,0),0)+(ABSENSI!D$3:AQ$3="Sabtu")*IFERROR(VLOOKUP($C19,DATA_JAM_PELAJARAN!$C:$K,8,0),0)))</f>
        <v>0</v>
      </c>
      <c r="J19" s="48">
        <f t="shared" si="0"/>
        <v>0</v>
      </c>
      <c r="K19" s="54">
        <f>COUNTIF(ABSENSI!D16:AQ16,"Mengajar")</f>
        <v>16</v>
      </c>
      <c r="L19" s="32">
        <f>COUNTIF(ABSENSI!D16:AQ16,"Sakit")</f>
        <v>0</v>
      </c>
      <c r="M19" s="32">
        <f>COUNTIF(ABSENSI!D16:AQ16,"Izin")</f>
        <v>0</v>
      </c>
      <c r="N19" s="32">
        <f>COUNTIF(ABSENSI!D16:AQ16,"Tanpa Keterangan")</f>
        <v>0</v>
      </c>
      <c r="O19" s="60">
        <f t="shared" si="1"/>
        <v>0.83333333333333337</v>
      </c>
      <c r="P19" s="16">
        <f>SUMPRODUCT((ABSENSI!D$3:AQ$3="Senin")*(IFERROR(VLOOKUP($C19,DATA_JAM_PELAJARAN!$C:$K,3,0),0)&gt;0)+(ABSENSI!D$3:AQ$3="Selasa")*(IFERROR(VLOOKUP($C19,DATA_JAM_PELAJARAN!$C:$K,4,0),0)&gt;0)+(ABSENSI!D$3:AQ$3="Rabu")*(IFERROR(VLOOKUP($C19,DATA_JAM_PELAJARAN!$C:$K,5,0),0)&gt;0)+(ABSENSI!D$3:AQ$3="Kamis")*(IFERROR(VLOOKUP($C19,DATA_JAM_PELAJARAN!$C:$K,6,0),0)&gt;0)+(ABSENSI!D$3:AQ$3="Jumat")*(IFERROR(VLOOKUP($C19,DATA_JAM_PELAJARAN!$C:$K,7,0),0)&gt;0)+(ABSENSI!D$3:AQ$3="Sabtu")*(IFERROR(VLOOKUP($C19,DATA_JAM_PELAJARAN!$C:$K,8,0),0)&gt;0))</f>
        <v>19</v>
      </c>
    </row>
    <row r="20" spans="2:16" ht="18" customHeight="1" x14ac:dyDescent="0.25">
      <c r="B20" s="44">
        <v>14</v>
      </c>
      <c r="C20" s="45" t="s">
        <v>47</v>
      </c>
      <c r="D20" s="46" t="s">
        <v>48</v>
      </c>
      <c r="E20" s="44">
        <f>SUMPRODUCT((ABSENSI!D$3:AQ$3="Senin")*IFERROR(VLOOKUP($C20,DATA_JAM_PELAJARAN!$C:$K,3,0),0)+(ABSENSI!D$3:AQ$3="Selasa")*IFERROR(VLOOKUP($C20,DATA_JAM_PELAJARAN!$C:$K,4,0),0)+(ABSENSI!D$3:AQ$3="Rabu")*IFERROR(VLOOKUP($C20,DATA_JAM_PELAJARAN!$C:$K,5,0),0)+(ABSENSI!D$3:AQ$3="Kamis")*IFERROR(VLOOKUP($C20,DATA_JAM_PELAJARAN!$C:$K,6,0),0)+(ABSENSI!D$3:AQ$3="Jumat")*IFERROR(VLOOKUP($C20,DATA_JAM_PELAJARAN!$C:$K,7,0),0)+(ABSENSI!D$3:AQ$3="Sabtu")*IFERROR(VLOOKUP($C20,DATA_JAM_PELAJARAN!$C:$K,8,0),0))</f>
        <v>113</v>
      </c>
      <c r="F20" s="53">
        <f>SUMPRODUCT((ABSENSI!D17:AQ17="Mengajar")*((ABSENSI!D$3:AQ$3="Senin")*IFERROR(VLOOKUP($C20,DATA_JAM_PELAJARAN!$C:$K,3,0),0)+(ABSENSI!D$3:AQ$3="Selasa")*IFERROR(VLOOKUP($C20,DATA_JAM_PELAJARAN!$C:$K,4,0),0)+(ABSENSI!D$3:AQ$3="Rabu")*IFERROR(VLOOKUP($C20,DATA_JAM_PELAJARAN!$C:$K,5,0),0)+(ABSENSI!D$3:AQ$3="Kamis")*IFERROR(VLOOKUP($C20,DATA_JAM_PELAJARAN!$C:$K,6,0),0)+(ABSENSI!D$3:AQ$3="Jumat")*IFERROR(VLOOKUP($C20,DATA_JAM_PELAJARAN!$C:$K,7,0),0)+(ABSENSI!D$3:AQ$3="Sabtu")*IFERROR(VLOOKUP($C20,DATA_JAM_PELAJARAN!$C:$K,8,0),0)))</f>
        <v>96</v>
      </c>
      <c r="G20" s="34">
        <f>SUMPRODUCT((ABSENSI!D17:AQ17="Sakit")*((ABSENSI!D$3:AQ$3="Senin")*IFERROR(VLOOKUP($C20,DATA_JAM_PELAJARAN!$C:$K,3,0),0)+(ABSENSI!D$3:AQ$3="Selasa")*IFERROR(VLOOKUP($C20,DATA_JAM_PELAJARAN!$C:$K,4,0),0)+(ABSENSI!D$3:AQ$3="Rabu")*IFERROR(VLOOKUP($C20,DATA_JAM_PELAJARAN!$C:$K,5,0),0)+(ABSENSI!D$3:AQ$3="Kamis")*IFERROR(VLOOKUP($C20,DATA_JAM_PELAJARAN!$C:$K,6,0),0)+(ABSENSI!D$3:AQ$3="Jumat")*IFERROR(VLOOKUP($C20,DATA_JAM_PELAJARAN!$C:$K,7,0),0)+(ABSENSI!D$3:AQ$3="Sabtu")*IFERROR(VLOOKUP($C20,DATA_JAM_PELAJARAN!$C:$K,8,0),0)))</f>
        <v>0</v>
      </c>
      <c r="H20" s="34">
        <f>SUMPRODUCT((ABSENSI!D17:AQ17="Izin")*((ABSENSI!D$3:AQ$3="Senin")*IFERROR(VLOOKUP($C20,DATA_JAM_PELAJARAN!$C:$K,3,0),0)+(ABSENSI!D$3:AQ$3="Selasa")*IFERROR(VLOOKUP($C20,DATA_JAM_PELAJARAN!$C:$K,4,0),0)+(ABSENSI!D$3:AQ$3="Rabu")*IFERROR(VLOOKUP($C20,DATA_JAM_PELAJARAN!$C:$K,5,0),0)+(ABSENSI!D$3:AQ$3="Kamis")*IFERROR(VLOOKUP($C20,DATA_JAM_PELAJARAN!$C:$K,6,0),0)+(ABSENSI!D$3:AQ$3="Jumat")*IFERROR(VLOOKUP($C20,DATA_JAM_PELAJARAN!$C:$K,7,0),0)+(ABSENSI!D$3:AQ$3="Sabtu")*IFERROR(VLOOKUP($C20,DATA_JAM_PELAJARAN!$C:$K,8,0),0)))</f>
        <v>0</v>
      </c>
      <c r="I20" s="34">
        <f>SUMPRODUCT((ABSENSI!D17:AQ17="Tanpa Keterangan")*((ABSENSI!D$3:AQ$3="Senin")*IFERROR(VLOOKUP($C20,DATA_JAM_PELAJARAN!$C:$K,3,0),0)+(ABSENSI!D$3:AQ$3="Selasa")*IFERROR(VLOOKUP($C20,DATA_JAM_PELAJARAN!$C:$K,4,0),0)+(ABSENSI!D$3:AQ$3="Rabu")*IFERROR(VLOOKUP($C20,DATA_JAM_PELAJARAN!$C:$K,5,0),0)+(ABSENSI!D$3:AQ$3="Kamis")*IFERROR(VLOOKUP($C20,DATA_JAM_PELAJARAN!$C:$K,6,0),0)+(ABSENSI!D$3:AQ$3="Jumat")*IFERROR(VLOOKUP($C20,DATA_JAM_PELAJARAN!$C:$K,7,0),0)+(ABSENSI!D$3:AQ$3="Sabtu")*IFERROR(VLOOKUP($C20,DATA_JAM_PELAJARAN!$C:$K,8,0),0)))</f>
        <v>0</v>
      </c>
      <c r="J20" s="49">
        <f t="shared" si="0"/>
        <v>0</v>
      </c>
      <c r="K20" s="55">
        <f>COUNTIF(ABSENSI!D17:AQ17,"Mengajar")</f>
        <v>20</v>
      </c>
      <c r="L20" s="34">
        <f>COUNTIF(ABSENSI!D17:AQ17,"Sakit")</f>
        <v>0</v>
      </c>
      <c r="M20" s="34">
        <f>COUNTIF(ABSENSI!D17:AQ17,"Izin")</f>
        <v>0</v>
      </c>
      <c r="N20" s="34">
        <f>COUNTIF(ABSENSI!D17:AQ17,"Tanpa Keterangan")</f>
        <v>0</v>
      </c>
      <c r="O20" s="61">
        <f t="shared" si="1"/>
        <v>0.84955752212389379</v>
      </c>
      <c r="P20" s="16">
        <f>SUMPRODUCT((ABSENSI!D$3:AQ$3="Senin")*(IFERROR(VLOOKUP($C20,DATA_JAM_PELAJARAN!$C:$K,3,0),0)&gt;0)+(ABSENSI!D$3:AQ$3="Selasa")*(IFERROR(VLOOKUP($C20,DATA_JAM_PELAJARAN!$C:$K,4,0),0)&gt;0)+(ABSENSI!D$3:AQ$3="Rabu")*(IFERROR(VLOOKUP($C20,DATA_JAM_PELAJARAN!$C:$K,5,0),0)&gt;0)+(ABSENSI!D$3:AQ$3="Kamis")*(IFERROR(VLOOKUP($C20,DATA_JAM_PELAJARAN!$C:$K,6,0),0)&gt;0)+(ABSENSI!D$3:AQ$3="Jumat")*(IFERROR(VLOOKUP($C20,DATA_JAM_PELAJARAN!$C:$K,7,0),0)&gt;0)+(ABSENSI!D$3:AQ$3="Sabtu")*(IFERROR(VLOOKUP($C20,DATA_JAM_PELAJARAN!$C:$K,8,0),0)&gt;0))</f>
        <v>23</v>
      </c>
    </row>
    <row r="21" spans="2:16" ht="18" customHeight="1" x14ac:dyDescent="0.25">
      <c r="B21" s="41">
        <v>15</v>
      </c>
      <c r="C21" s="42" t="s">
        <v>49</v>
      </c>
      <c r="D21" s="43" t="s">
        <v>50</v>
      </c>
      <c r="E21" s="41">
        <f>SUMPRODUCT((ABSENSI!D$3:AQ$3="Senin")*IFERROR(VLOOKUP($C21,DATA_JAM_PELAJARAN!$C:$K,3,0),0)+(ABSENSI!D$3:AQ$3="Selasa")*IFERROR(VLOOKUP($C21,DATA_JAM_PELAJARAN!$C:$K,4,0),0)+(ABSENSI!D$3:AQ$3="Rabu")*IFERROR(VLOOKUP($C21,DATA_JAM_PELAJARAN!$C:$K,5,0),0)+(ABSENSI!D$3:AQ$3="Kamis")*IFERROR(VLOOKUP($C21,DATA_JAM_PELAJARAN!$C:$K,6,0),0)+(ABSENSI!D$3:AQ$3="Jumat")*IFERROR(VLOOKUP($C21,DATA_JAM_PELAJARAN!$C:$K,7,0),0)+(ABSENSI!D$3:AQ$3="Sabtu")*IFERROR(VLOOKUP($C21,DATA_JAM_PELAJARAN!$C:$K,8,0),0))</f>
        <v>136</v>
      </c>
      <c r="F21" s="52">
        <f>SUMPRODUCT((ABSENSI!D18:AQ18="Mengajar")*((ABSENSI!D$3:AQ$3="Senin")*IFERROR(VLOOKUP($C21,DATA_JAM_PELAJARAN!$C:$K,3,0),0)+(ABSENSI!D$3:AQ$3="Selasa")*IFERROR(VLOOKUP($C21,DATA_JAM_PELAJARAN!$C:$K,4,0),0)+(ABSENSI!D$3:AQ$3="Rabu")*IFERROR(VLOOKUP($C21,DATA_JAM_PELAJARAN!$C:$K,5,0),0)+(ABSENSI!D$3:AQ$3="Kamis")*IFERROR(VLOOKUP($C21,DATA_JAM_PELAJARAN!$C:$K,6,0),0)+(ABSENSI!D$3:AQ$3="Jumat")*IFERROR(VLOOKUP($C21,DATA_JAM_PELAJARAN!$C:$K,7,0),0)+(ABSENSI!D$3:AQ$3="Sabtu")*IFERROR(VLOOKUP($C21,DATA_JAM_PELAJARAN!$C:$K,8,0),0)))</f>
        <v>120</v>
      </c>
      <c r="G21" s="32">
        <f>SUMPRODUCT((ABSENSI!D18:AQ18="Sakit")*((ABSENSI!D$3:AQ$3="Senin")*IFERROR(VLOOKUP($C21,DATA_JAM_PELAJARAN!$C:$K,3,0),0)+(ABSENSI!D$3:AQ$3="Selasa")*IFERROR(VLOOKUP($C21,DATA_JAM_PELAJARAN!$C:$K,4,0),0)+(ABSENSI!D$3:AQ$3="Rabu")*IFERROR(VLOOKUP($C21,DATA_JAM_PELAJARAN!$C:$K,5,0),0)+(ABSENSI!D$3:AQ$3="Kamis")*IFERROR(VLOOKUP($C21,DATA_JAM_PELAJARAN!$C:$K,6,0),0)+(ABSENSI!D$3:AQ$3="Jumat")*IFERROR(VLOOKUP($C21,DATA_JAM_PELAJARAN!$C:$K,7,0),0)+(ABSENSI!D$3:AQ$3="Sabtu")*IFERROR(VLOOKUP($C21,DATA_JAM_PELAJARAN!$C:$K,8,0),0)))</f>
        <v>0</v>
      </c>
      <c r="H21" s="32">
        <f>SUMPRODUCT((ABSENSI!D18:AQ18="Izin")*((ABSENSI!D$3:AQ$3="Senin")*IFERROR(VLOOKUP($C21,DATA_JAM_PELAJARAN!$C:$K,3,0),0)+(ABSENSI!D$3:AQ$3="Selasa")*IFERROR(VLOOKUP($C21,DATA_JAM_PELAJARAN!$C:$K,4,0),0)+(ABSENSI!D$3:AQ$3="Rabu")*IFERROR(VLOOKUP($C21,DATA_JAM_PELAJARAN!$C:$K,5,0),0)+(ABSENSI!D$3:AQ$3="Kamis")*IFERROR(VLOOKUP($C21,DATA_JAM_PELAJARAN!$C:$K,6,0),0)+(ABSENSI!D$3:AQ$3="Jumat")*IFERROR(VLOOKUP($C21,DATA_JAM_PELAJARAN!$C:$K,7,0),0)+(ABSENSI!D$3:AQ$3="Sabtu")*IFERROR(VLOOKUP($C21,DATA_JAM_PELAJARAN!$C:$K,8,0),0)))</f>
        <v>0</v>
      </c>
      <c r="I21" s="32">
        <f>SUMPRODUCT((ABSENSI!D18:AQ18="Tanpa Keterangan")*((ABSENSI!D$3:AQ$3="Senin")*IFERROR(VLOOKUP($C21,DATA_JAM_PELAJARAN!$C:$K,3,0),0)+(ABSENSI!D$3:AQ$3="Selasa")*IFERROR(VLOOKUP($C21,DATA_JAM_PELAJARAN!$C:$K,4,0),0)+(ABSENSI!D$3:AQ$3="Rabu")*IFERROR(VLOOKUP($C21,DATA_JAM_PELAJARAN!$C:$K,5,0),0)+(ABSENSI!D$3:AQ$3="Kamis")*IFERROR(VLOOKUP($C21,DATA_JAM_PELAJARAN!$C:$K,6,0),0)+(ABSENSI!D$3:AQ$3="Jumat")*IFERROR(VLOOKUP($C21,DATA_JAM_PELAJARAN!$C:$K,7,0),0)+(ABSENSI!D$3:AQ$3="Sabtu")*IFERROR(VLOOKUP($C21,DATA_JAM_PELAJARAN!$C:$K,8,0),0)))</f>
        <v>0</v>
      </c>
      <c r="J21" s="48">
        <f t="shared" si="0"/>
        <v>0</v>
      </c>
      <c r="K21" s="54">
        <f>COUNTIF(ABSENSI!D18:AQ18,"Mengajar")</f>
        <v>16</v>
      </c>
      <c r="L21" s="32">
        <f>COUNTIF(ABSENSI!D18:AQ18,"Sakit")</f>
        <v>0</v>
      </c>
      <c r="M21" s="32">
        <f>COUNTIF(ABSENSI!D18:AQ18,"Izin")</f>
        <v>0</v>
      </c>
      <c r="N21" s="32">
        <f>COUNTIF(ABSENSI!D18:AQ18,"Tanpa Keterangan")</f>
        <v>0</v>
      </c>
      <c r="O21" s="60">
        <f t="shared" si="1"/>
        <v>0.88235294117647056</v>
      </c>
      <c r="P21" s="16">
        <f>SUMPRODUCT((ABSENSI!D$3:AQ$3="Senin")*(IFERROR(VLOOKUP($C21,DATA_JAM_PELAJARAN!$C:$K,3,0),0)&gt;0)+(ABSENSI!D$3:AQ$3="Selasa")*(IFERROR(VLOOKUP($C21,DATA_JAM_PELAJARAN!$C:$K,4,0),0)&gt;0)+(ABSENSI!D$3:AQ$3="Rabu")*(IFERROR(VLOOKUP($C21,DATA_JAM_PELAJARAN!$C:$K,5,0),0)&gt;0)+(ABSENSI!D$3:AQ$3="Kamis")*(IFERROR(VLOOKUP($C21,DATA_JAM_PELAJARAN!$C:$K,6,0),0)&gt;0)+(ABSENSI!D$3:AQ$3="Jumat")*(IFERROR(VLOOKUP($C21,DATA_JAM_PELAJARAN!$C:$K,7,0),0)&gt;0)+(ABSENSI!D$3:AQ$3="Sabtu")*(IFERROR(VLOOKUP($C21,DATA_JAM_PELAJARAN!$C:$K,8,0),0)&gt;0))</f>
        <v>18</v>
      </c>
    </row>
    <row r="22" spans="2:16" ht="18" customHeight="1" x14ac:dyDescent="0.25">
      <c r="B22" s="44">
        <v>16</v>
      </c>
      <c r="C22" s="45" t="s">
        <v>51</v>
      </c>
      <c r="D22" s="46" t="s">
        <v>46</v>
      </c>
      <c r="E22" s="44">
        <f>SUMPRODUCT((ABSENSI!D$3:AQ$3="Senin")*IFERROR(VLOOKUP($C22,DATA_JAM_PELAJARAN!$C:$K,3,0),0)+(ABSENSI!D$3:AQ$3="Selasa")*IFERROR(VLOOKUP($C22,DATA_JAM_PELAJARAN!$C:$K,4,0),0)+(ABSENSI!D$3:AQ$3="Rabu")*IFERROR(VLOOKUP($C22,DATA_JAM_PELAJARAN!$C:$K,5,0),0)+(ABSENSI!D$3:AQ$3="Kamis")*IFERROR(VLOOKUP($C22,DATA_JAM_PELAJARAN!$C:$K,6,0),0)+(ABSENSI!D$3:AQ$3="Jumat")*IFERROR(VLOOKUP($C22,DATA_JAM_PELAJARAN!$C:$K,7,0),0)+(ABSENSI!D$3:AQ$3="Sabtu")*IFERROR(VLOOKUP($C22,DATA_JAM_PELAJARAN!$C:$K,8,0),0))</f>
        <v>88</v>
      </c>
      <c r="F22" s="53">
        <f>SUMPRODUCT((ABSENSI!D19:AQ19="Mengajar")*((ABSENSI!D$3:AQ$3="Senin")*IFERROR(VLOOKUP($C22,DATA_JAM_PELAJARAN!$C:$K,3,0),0)+(ABSENSI!D$3:AQ$3="Selasa")*IFERROR(VLOOKUP($C22,DATA_JAM_PELAJARAN!$C:$K,4,0),0)+(ABSENSI!D$3:AQ$3="Rabu")*IFERROR(VLOOKUP($C22,DATA_JAM_PELAJARAN!$C:$K,5,0),0)+(ABSENSI!D$3:AQ$3="Kamis")*IFERROR(VLOOKUP($C22,DATA_JAM_PELAJARAN!$C:$K,6,0),0)+(ABSENSI!D$3:AQ$3="Jumat")*IFERROR(VLOOKUP($C22,DATA_JAM_PELAJARAN!$C:$K,7,0),0)+(ABSENSI!D$3:AQ$3="Sabtu")*IFERROR(VLOOKUP($C22,DATA_JAM_PELAJARAN!$C:$K,8,0),0)))</f>
        <v>72</v>
      </c>
      <c r="G22" s="34">
        <f>SUMPRODUCT((ABSENSI!D19:AQ19="Sakit")*((ABSENSI!D$3:AQ$3="Senin")*IFERROR(VLOOKUP($C22,DATA_JAM_PELAJARAN!$C:$K,3,0),0)+(ABSENSI!D$3:AQ$3="Selasa")*IFERROR(VLOOKUP($C22,DATA_JAM_PELAJARAN!$C:$K,4,0),0)+(ABSENSI!D$3:AQ$3="Rabu")*IFERROR(VLOOKUP($C22,DATA_JAM_PELAJARAN!$C:$K,5,0),0)+(ABSENSI!D$3:AQ$3="Kamis")*IFERROR(VLOOKUP($C22,DATA_JAM_PELAJARAN!$C:$K,6,0),0)+(ABSENSI!D$3:AQ$3="Jumat")*IFERROR(VLOOKUP($C22,DATA_JAM_PELAJARAN!$C:$K,7,0),0)+(ABSENSI!D$3:AQ$3="Sabtu")*IFERROR(VLOOKUP($C22,DATA_JAM_PELAJARAN!$C:$K,8,0),0)))</f>
        <v>0</v>
      </c>
      <c r="H22" s="34">
        <f>SUMPRODUCT((ABSENSI!D19:AQ19="Izin")*((ABSENSI!D$3:AQ$3="Senin")*IFERROR(VLOOKUP($C22,DATA_JAM_PELAJARAN!$C:$K,3,0),0)+(ABSENSI!D$3:AQ$3="Selasa")*IFERROR(VLOOKUP($C22,DATA_JAM_PELAJARAN!$C:$K,4,0),0)+(ABSENSI!D$3:AQ$3="Rabu")*IFERROR(VLOOKUP($C22,DATA_JAM_PELAJARAN!$C:$K,5,0),0)+(ABSENSI!D$3:AQ$3="Kamis")*IFERROR(VLOOKUP($C22,DATA_JAM_PELAJARAN!$C:$K,6,0),0)+(ABSENSI!D$3:AQ$3="Jumat")*IFERROR(VLOOKUP($C22,DATA_JAM_PELAJARAN!$C:$K,7,0),0)+(ABSENSI!D$3:AQ$3="Sabtu")*IFERROR(VLOOKUP($C22,DATA_JAM_PELAJARAN!$C:$K,8,0),0)))</f>
        <v>0</v>
      </c>
      <c r="I22" s="34">
        <f>SUMPRODUCT((ABSENSI!D19:AQ19="Tanpa Keterangan")*((ABSENSI!D$3:AQ$3="Senin")*IFERROR(VLOOKUP($C22,DATA_JAM_PELAJARAN!$C:$K,3,0),0)+(ABSENSI!D$3:AQ$3="Selasa")*IFERROR(VLOOKUP($C22,DATA_JAM_PELAJARAN!$C:$K,4,0),0)+(ABSENSI!D$3:AQ$3="Rabu")*IFERROR(VLOOKUP($C22,DATA_JAM_PELAJARAN!$C:$K,5,0),0)+(ABSENSI!D$3:AQ$3="Kamis")*IFERROR(VLOOKUP($C22,DATA_JAM_PELAJARAN!$C:$K,6,0),0)+(ABSENSI!D$3:AQ$3="Jumat")*IFERROR(VLOOKUP($C22,DATA_JAM_PELAJARAN!$C:$K,7,0),0)+(ABSENSI!D$3:AQ$3="Sabtu")*IFERROR(VLOOKUP($C22,DATA_JAM_PELAJARAN!$C:$K,8,0),0)))</f>
        <v>0</v>
      </c>
      <c r="J22" s="49">
        <f t="shared" si="0"/>
        <v>0</v>
      </c>
      <c r="K22" s="55">
        <f>COUNTIF(ABSENSI!D19:AQ19,"Mengajar")</f>
        <v>12</v>
      </c>
      <c r="L22" s="34">
        <f>COUNTIF(ABSENSI!D19:AQ19,"Sakit")</f>
        <v>0</v>
      </c>
      <c r="M22" s="34">
        <f>COUNTIF(ABSENSI!D19:AQ19,"Izin")</f>
        <v>0</v>
      </c>
      <c r="N22" s="34">
        <f>COUNTIF(ABSENSI!D19:AQ19,"Tanpa Keterangan")</f>
        <v>0</v>
      </c>
      <c r="O22" s="61">
        <f t="shared" si="1"/>
        <v>0.81818181818181823</v>
      </c>
      <c r="P22" s="16">
        <f>SUMPRODUCT((ABSENSI!D$3:AQ$3="Senin")*(IFERROR(VLOOKUP($C22,DATA_JAM_PELAJARAN!$C:$K,3,0),0)&gt;0)+(ABSENSI!D$3:AQ$3="Selasa")*(IFERROR(VLOOKUP($C22,DATA_JAM_PELAJARAN!$C:$K,4,0),0)&gt;0)+(ABSENSI!D$3:AQ$3="Rabu")*(IFERROR(VLOOKUP($C22,DATA_JAM_PELAJARAN!$C:$K,5,0),0)&gt;0)+(ABSENSI!D$3:AQ$3="Kamis")*(IFERROR(VLOOKUP($C22,DATA_JAM_PELAJARAN!$C:$K,6,0),0)&gt;0)+(ABSENSI!D$3:AQ$3="Jumat")*(IFERROR(VLOOKUP($C22,DATA_JAM_PELAJARAN!$C:$K,7,0),0)&gt;0)+(ABSENSI!D$3:AQ$3="Sabtu")*(IFERROR(VLOOKUP($C22,DATA_JAM_PELAJARAN!$C:$K,8,0),0)&gt;0))</f>
        <v>14</v>
      </c>
    </row>
    <row r="23" spans="2:16" ht="18" customHeight="1" x14ac:dyDescent="0.25">
      <c r="B23" s="41">
        <v>17</v>
      </c>
      <c r="C23" s="42" t="s">
        <v>52</v>
      </c>
      <c r="D23" s="43" t="s">
        <v>53</v>
      </c>
      <c r="E23" s="41">
        <f>SUMPRODUCT((ABSENSI!D$3:AQ$3="Senin")*IFERROR(VLOOKUP($C23,DATA_JAM_PELAJARAN!$C:$K,3,0),0)+(ABSENSI!D$3:AQ$3="Selasa")*IFERROR(VLOOKUP($C23,DATA_JAM_PELAJARAN!$C:$K,4,0),0)+(ABSENSI!D$3:AQ$3="Rabu")*IFERROR(VLOOKUP($C23,DATA_JAM_PELAJARAN!$C:$K,5,0),0)+(ABSENSI!D$3:AQ$3="Kamis")*IFERROR(VLOOKUP($C23,DATA_JAM_PELAJARAN!$C:$K,6,0),0)+(ABSENSI!D$3:AQ$3="Jumat")*IFERROR(VLOOKUP($C23,DATA_JAM_PELAJARAN!$C:$K,7,0),0)+(ABSENSI!D$3:AQ$3="Sabtu")*IFERROR(VLOOKUP($C23,DATA_JAM_PELAJARAN!$C:$K,8,0),0))</f>
        <v>106</v>
      </c>
      <c r="F23" s="52">
        <f>SUMPRODUCT((ABSENSI!D20:AQ20="Mengajar")*((ABSENSI!D$3:AQ$3="Senin")*IFERROR(VLOOKUP($C23,DATA_JAM_PELAJARAN!$C:$K,3,0),0)+(ABSENSI!D$3:AQ$3="Selasa")*IFERROR(VLOOKUP($C23,DATA_JAM_PELAJARAN!$C:$K,4,0),0)+(ABSENSI!D$3:AQ$3="Rabu")*IFERROR(VLOOKUP($C23,DATA_JAM_PELAJARAN!$C:$K,5,0),0)+(ABSENSI!D$3:AQ$3="Kamis")*IFERROR(VLOOKUP($C23,DATA_JAM_PELAJARAN!$C:$K,6,0),0)+(ABSENSI!D$3:AQ$3="Jumat")*IFERROR(VLOOKUP($C23,DATA_JAM_PELAJARAN!$C:$K,7,0),0)+(ABSENSI!D$3:AQ$3="Sabtu")*IFERROR(VLOOKUP($C23,DATA_JAM_PELAJARAN!$C:$K,8,0),0)))</f>
        <v>88</v>
      </c>
      <c r="G23" s="32">
        <f>SUMPRODUCT((ABSENSI!D20:AQ20="Sakit")*((ABSENSI!D$3:AQ$3="Senin")*IFERROR(VLOOKUP($C23,DATA_JAM_PELAJARAN!$C:$K,3,0),0)+(ABSENSI!D$3:AQ$3="Selasa")*IFERROR(VLOOKUP($C23,DATA_JAM_PELAJARAN!$C:$K,4,0),0)+(ABSENSI!D$3:AQ$3="Rabu")*IFERROR(VLOOKUP($C23,DATA_JAM_PELAJARAN!$C:$K,5,0),0)+(ABSENSI!D$3:AQ$3="Kamis")*IFERROR(VLOOKUP($C23,DATA_JAM_PELAJARAN!$C:$K,6,0),0)+(ABSENSI!D$3:AQ$3="Jumat")*IFERROR(VLOOKUP($C23,DATA_JAM_PELAJARAN!$C:$K,7,0),0)+(ABSENSI!D$3:AQ$3="Sabtu")*IFERROR(VLOOKUP($C23,DATA_JAM_PELAJARAN!$C:$K,8,0),0)))</f>
        <v>0</v>
      </c>
      <c r="H23" s="32">
        <f>SUMPRODUCT((ABSENSI!D20:AQ20="Izin")*((ABSENSI!D$3:AQ$3="Senin")*IFERROR(VLOOKUP($C23,DATA_JAM_PELAJARAN!$C:$K,3,0),0)+(ABSENSI!D$3:AQ$3="Selasa")*IFERROR(VLOOKUP($C23,DATA_JAM_PELAJARAN!$C:$K,4,0),0)+(ABSENSI!D$3:AQ$3="Rabu")*IFERROR(VLOOKUP($C23,DATA_JAM_PELAJARAN!$C:$K,5,0),0)+(ABSENSI!D$3:AQ$3="Kamis")*IFERROR(VLOOKUP($C23,DATA_JAM_PELAJARAN!$C:$K,6,0),0)+(ABSENSI!D$3:AQ$3="Jumat")*IFERROR(VLOOKUP($C23,DATA_JAM_PELAJARAN!$C:$K,7,0),0)+(ABSENSI!D$3:AQ$3="Sabtu")*IFERROR(VLOOKUP($C23,DATA_JAM_PELAJARAN!$C:$K,8,0),0)))</f>
        <v>0</v>
      </c>
      <c r="I23" s="32">
        <f>SUMPRODUCT((ABSENSI!D20:AQ20="Tanpa Keterangan")*((ABSENSI!D$3:AQ$3="Senin")*IFERROR(VLOOKUP($C23,DATA_JAM_PELAJARAN!$C:$K,3,0),0)+(ABSENSI!D$3:AQ$3="Selasa")*IFERROR(VLOOKUP($C23,DATA_JAM_PELAJARAN!$C:$K,4,0),0)+(ABSENSI!D$3:AQ$3="Rabu")*IFERROR(VLOOKUP($C23,DATA_JAM_PELAJARAN!$C:$K,5,0),0)+(ABSENSI!D$3:AQ$3="Kamis")*IFERROR(VLOOKUP($C23,DATA_JAM_PELAJARAN!$C:$K,6,0),0)+(ABSENSI!D$3:AQ$3="Jumat")*IFERROR(VLOOKUP($C23,DATA_JAM_PELAJARAN!$C:$K,7,0),0)+(ABSENSI!D$3:AQ$3="Sabtu")*IFERROR(VLOOKUP($C23,DATA_JAM_PELAJARAN!$C:$K,8,0),0)))</f>
        <v>0</v>
      </c>
      <c r="J23" s="48">
        <f t="shared" si="0"/>
        <v>0</v>
      </c>
      <c r="K23" s="54">
        <f>COUNTIF(ABSENSI!D20:AQ20,"Mengajar")</f>
        <v>16</v>
      </c>
      <c r="L23" s="32">
        <f>COUNTIF(ABSENSI!D20:AQ20,"Sakit")</f>
        <v>0</v>
      </c>
      <c r="M23" s="32">
        <f>COUNTIF(ABSENSI!D20:AQ20,"Izin")</f>
        <v>0</v>
      </c>
      <c r="N23" s="32">
        <f>COUNTIF(ABSENSI!D20:AQ20,"Tanpa Keterangan")</f>
        <v>0</v>
      </c>
      <c r="O23" s="60">
        <f t="shared" si="1"/>
        <v>0.83018867924528306</v>
      </c>
      <c r="P23" s="16">
        <f>SUMPRODUCT((ABSENSI!D$3:AQ$3="Senin")*(IFERROR(VLOOKUP($C23,DATA_JAM_PELAJARAN!$C:$K,3,0),0)&gt;0)+(ABSENSI!D$3:AQ$3="Selasa")*(IFERROR(VLOOKUP($C23,DATA_JAM_PELAJARAN!$C:$K,4,0),0)&gt;0)+(ABSENSI!D$3:AQ$3="Rabu")*(IFERROR(VLOOKUP($C23,DATA_JAM_PELAJARAN!$C:$K,5,0),0)&gt;0)+(ABSENSI!D$3:AQ$3="Kamis")*(IFERROR(VLOOKUP($C23,DATA_JAM_PELAJARAN!$C:$K,6,0),0)&gt;0)+(ABSENSI!D$3:AQ$3="Jumat")*(IFERROR(VLOOKUP($C23,DATA_JAM_PELAJARAN!$C:$K,7,0),0)&gt;0)+(ABSENSI!D$3:AQ$3="Sabtu")*(IFERROR(VLOOKUP($C23,DATA_JAM_PELAJARAN!$C:$K,8,0),0)&gt;0))</f>
        <v>19</v>
      </c>
    </row>
    <row r="24" spans="2:16" ht="18" customHeight="1" x14ac:dyDescent="0.25">
      <c r="B24" s="44">
        <v>18</v>
      </c>
      <c r="C24" s="45" t="s">
        <v>54</v>
      </c>
      <c r="D24" s="46" t="s">
        <v>48</v>
      </c>
      <c r="E24" s="44">
        <f>SUMPRODUCT((ABSENSI!D$3:AQ$3="Senin")*IFERROR(VLOOKUP($C24,DATA_JAM_PELAJARAN!$C:$K,3,0),0)+(ABSENSI!D$3:AQ$3="Selasa")*IFERROR(VLOOKUP($C24,DATA_JAM_PELAJARAN!$C:$K,4,0),0)+(ABSENSI!D$3:AQ$3="Rabu")*IFERROR(VLOOKUP($C24,DATA_JAM_PELAJARAN!$C:$K,5,0),0)+(ABSENSI!D$3:AQ$3="Kamis")*IFERROR(VLOOKUP($C24,DATA_JAM_PELAJARAN!$C:$K,6,0),0)+(ABSENSI!D$3:AQ$3="Jumat")*IFERROR(VLOOKUP($C24,DATA_JAM_PELAJARAN!$C:$K,7,0),0)+(ABSENSI!D$3:AQ$3="Sabtu")*IFERROR(VLOOKUP($C24,DATA_JAM_PELAJARAN!$C:$K,8,0),0))</f>
        <v>94</v>
      </c>
      <c r="F24" s="53">
        <f>SUMPRODUCT((ABSENSI!D21:AQ21="Mengajar")*((ABSENSI!D$3:AQ$3="Senin")*IFERROR(VLOOKUP($C24,DATA_JAM_PELAJARAN!$C:$K,3,0),0)+(ABSENSI!D$3:AQ$3="Selasa")*IFERROR(VLOOKUP($C24,DATA_JAM_PELAJARAN!$C:$K,4,0),0)+(ABSENSI!D$3:AQ$3="Rabu")*IFERROR(VLOOKUP($C24,DATA_JAM_PELAJARAN!$C:$K,5,0),0)+(ABSENSI!D$3:AQ$3="Kamis")*IFERROR(VLOOKUP($C24,DATA_JAM_PELAJARAN!$C:$K,6,0),0)+(ABSENSI!D$3:AQ$3="Jumat")*IFERROR(VLOOKUP($C24,DATA_JAM_PELAJARAN!$C:$K,7,0),0)+(ABSENSI!D$3:AQ$3="Sabtu")*IFERROR(VLOOKUP($C24,DATA_JAM_PELAJARAN!$C:$K,8,0),0)))</f>
        <v>80</v>
      </c>
      <c r="G24" s="34">
        <f>SUMPRODUCT((ABSENSI!D21:AQ21="Sakit")*((ABSENSI!D$3:AQ$3="Senin")*IFERROR(VLOOKUP($C24,DATA_JAM_PELAJARAN!$C:$K,3,0),0)+(ABSENSI!D$3:AQ$3="Selasa")*IFERROR(VLOOKUP($C24,DATA_JAM_PELAJARAN!$C:$K,4,0),0)+(ABSENSI!D$3:AQ$3="Rabu")*IFERROR(VLOOKUP($C24,DATA_JAM_PELAJARAN!$C:$K,5,0),0)+(ABSENSI!D$3:AQ$3="Kamis")*IFERROR(VLOOKUP($C24,DATA_JAM_PELAJARAN!$C:$K,6,0),0)+(ABSENSI!D$3:AQ$3="Jumat")*IFERROR(VLOOKUP($C24,DATA_JAM_PELAJARAN!$C:$K,7,0),0)+(ABSENSI!D$3:AQ$3="Sabtu")*IFERROR(VLOOKUP($C24,DATA_JAM_PELAJARAN!$C:$K,8,0),0)))</f>
        <v>0</v>
      </c>
      <c r="H24" s="34">
        <f>SUMPRODUCT((ABSENSI!D21:AQ21="Izin")*((ABSENSI!D$3:AQ$3="Senin")*IFERROR(VLOOKUP($C24,DATA_JAM_PELAJARAN!$C:$K,3,0),0)+(ABSENSI!D$3:AQ$3="Selasa")*IFERROR(VLOOKUP($C24,DATA_JAM_PELAJARAN!$C:$K,4,0),0)+(ABSENSI!D$3:AQ$3="Rabu")*IFERROR(VLOOKUP($C24,DATA_JAM_PELAJARAN!$C:$K,5,0),0)+(ABSENSI!D$3:AQ$3="Kamis")*IFERROR(VLOOKUP($C24,DATA_JAM_PELAJARAN!$C:$K,6,0),0)+(ABSENSI!D$3:AQ$3="Jumat")*IFERROR(VLOOKUP($C24,DATA_JAM_PELAJARAN!$C:$K,7,0),0)+(ABSENSI!D$3:AQ$3="Sabtu")*IFERROR(VLOOKUP($C24,DATA_JAM_PELAJARAN!$C:$K,8,0),0)))</f>
        <v>0</v>
      </c>
      <c r="I24" s="34">
        <f>SUMPRODUCT((ABSENSI!D21:AQ21="Tanpa Keterangan")*((ABSENSI!D$3:AQ$3="Senin")*IFERROR(VLOOKUP($C24,DATA_JAM_PELAJARAN!$C:$K,3,0),0)+(ABSENSI!D$3:AQ$3="Selasa")*IFERROR(VLOOKUP($C24,DATA_JAM_PELAJARAN!$C:$K,4,0),0)+(ABSENSI!D$3:AQ$3="Rabu")*IFERROR(VLOOKUP($C24,DATA_JAM_PELAJARAN!$C:$K,5,0),0)+(ABSENSI!D$3:AQ$3="Kamis")*IFERROR(VLOOKUP($C24,DATA_JAM_PELAJARAN!$C:$K,6,0),0)+(ABSENSI!D$3:AQ$3="Jumat")*IFERROR(VLOOKUP($C24,DATA_JAM_PELAJARAN!$C:$K,7,0),0)+(ABSENSI!D$3:AQ$3="Sabtu")*IFERROR(VLOOKUP($C24,DATA_JAM_PELAJARAN!$C:$K,8,0),0)))</f>
        <v>0</v>
      </c>
      <c r="J24" s="49">
        <f t="shared" si="0"/>
        <v>0</v>
      </c>
      <c r="K24" s="55">
        <f>COUNTIF(ABSENSI!D21:AQ21,"Mengajar")</f>
        <v>16</v>
      </c>
      <c r="L24" s="34">
        <f>COUNTIF(ABSENSI!D21:AQ21,"Sakit")</f>
        <v>0</v>
      </c>
      <c r="M24" s="34">
        <f>COUNTIF(ABSENSI!D21:AQ21,"Izin")</f>
        <v>0</v>
      </c>
      <c r="N24" s="34">
        <f>COUNTIF(ABSENSI!D21:AQ21,"Tanpa Keterangan")</f>
        <v>0</v>
      </c>
      <c r="O24" s="61">
        <f t="shared" si="1"/>
        <v>0.85106382978723405</v>
      </c>
      <c r="P24" s="16">
        <f>SUMPRODUCT((ABSENSI!D$3:AQ$3="Senin")*(IFERROR(VLOOKUP($C24,DATA_JAM_PELAJARAN!$C:$K,3,0),0)&gt;0)+(ABSENSI!D$3:AQ$3="Selasa")*(IFERROR(VLOOKUP($C24,DATA_JAM_PELAJARAN!$C:$K,4,0),0)&gt;0)+(ABSENSI!D$3:AQ$3="Rabu")*(IFERROR(VLOOKUP($C24,DATA_JAM_PELAJARAN!$C:$K,5,0),0)&gt;0)+(ABSENSI!D$3:AQ$3="Kamis")*(IFERROR(VLOOKUP($C24,DATA_JAM_PELAJARAN!$C:$K,6,0),0)&gt;0)+(ABSENSI!D$3:AQ$3="Jumat")*(IFERROR(VLOOKUP($C24,DATA_JAM_PELAJARAN!$C:$K,7,0),0)&gt;0)+(ABSENSI!D$3:AQ$3="Sabtu")*(IFERROR(VLOOKUP($C24,DATA_JAM_PELAJARAN!$C:$K,8,0),0)&gt;0))</f>
        <v>19</v>
      </c>
    </row>
    <row r="25" spans="2:16" ht="18" customHeight="1" x14ac:dyDescent="0.25">
      <c r="B25" s="41">
        <v>19</v>
      </c>
      <c r="C25" s="42" t="s">
        <v>55</v>
      </c>
      <c r="D25" s="43" t="s">
        <v>56</v>
      </c>
      <c r="E25" s="41">
        <f>SUMPRODUCT((ABSENSI!D$3:AQ$3="Senin")*IFERROR(VLOOKUP($C25,DATA_JAM_PELAJARAN!$C:$K,3,0),0)+(ABSENSI!D$3:AQ$3="Selasa")*IFERROR(VLOOKUP($C25,DATA_JAM_PELAJARAN!$C:$K,4,0),0)+(ABSENSI!D$3:AQ$3="Rabu")*IFERROR(VLOOKUP($C25,DATA_JAM_PELAJARAN!$C:$K,5,0),0)+(ABSENSI!D$3:AQ$3="Kamis")*IFERROR(VLOOKUP($C25,DATA_JAM_PELAJARAN!$C:$K,6,0),0)+(ABSENSI!D$3:AQ$3="Jumat")*IFERROR(VLOOKUP($C25,DATA_JAM_PELAJARAN!$C:$K,7,0),0)+(ABSENSI!D$3:AQ$3="Sabtu")*IFERROR(VLOOKUP($C25,DATA_JAM_PELAJARAN!$C:$K,8,0),0))</f>
        <v>116</v>
      </c>
      <c r="F25" s="52">
        <f>SUMPRODUCT((ABSENSI!D22:AQ22="Mengajar")*((ABSENSI!D$3:AQ$3="Senin")*IFERROR(VLOOKUP($C25,DATA_JAM_PELAJARAN!$C:$K,3,0),0)+(ABSENSI!D$3:AQ$3="Selasa")*IFERROR(VLOOKUP($C25,DATA_JAM_PELAJARAN!$C:$K,4,0),0)+(ABSENSI!D$3:AQ$3="Rabu")*IFERROR(VLOOKUP($C25,DATA_JAM_PELAJARAN!$C:$K,5,0),0)+(ABSENSI!D$3:AQ$3="Kamis")*IFERROR(VLOOKUP($C25,DATA_JAM_PELAJARAN!$C:$K,6,0),0)+(ABSENSI!D$3:AQ$3="Jumat")*IFERROR(VLOOKUP($C25,DATA_JAM_PELAJARAN!$C:$K,7,0),0)+(ABSENSI!D$3:AQ$3="Sabtu")*IFERROR(VLOOKUP($C25,DATA_JAM_PELAJARAN!$C:$K,8,0),0)))</f>
        <v>96</v>
      </c>
      <c r="G25" s="32">
        <f>SUMPRODUCT((ABSENSI!D22:AQ22="Sakit")*((ABSENSI!D$3:AQ$3="Senin")*IFERROR(VLOOKUP($C25,DATA_JAM_PELAJARAN!$C:$K,3,0),0)+(ABSENSI!D$3:AQ$3="Selasa")*IFERROR(VLOOKUP($C25,DATA_JAM_PELAJARAN!$C:$K,4,0),0)+(ABSENSI!D$3:AQ$3="Rabu")*IFERROR(VLOOKUP($C25,DATA_JAM_PELAJARAN!$C:$K,5,0),0)+(ABSENSI!D$3:AQ$3="Kamis")*IFERROR(VLOOKUP($C25,DATA_JAM_PELAJARAN!$C:$K,6,0),0)+(ABSENSI!D$3:AQ$3="Jumat")*IFERROR(VLOOKUP($C25,DATA_JAM_PELAJARAN!$C:$K,7,0),0)+(ABSENSI!D$3:AQ$3="Sabtu")*IFERROR(VLOOKUP($C25,DATA_JAM_PELAJARAN!$C:$K,8,0),0)))</f>
        <v>0</v>
      </c>
      <c r="H25" s="32">
        <f>SUMPRODUCT((ABSENSI!D22:AQ22="Izin")*((ABSENSI!D$3:AQ$3="Senin")*IFERROR(VLOOKUP($C25,DATA_JAM_PELAJARAN!$C:$K,3,0),0)+(ABSENSI!D$3:AQ$3="Selasa")*IFERROR(VLOOKUP($C25,DATA_JAM_PELAJARAN!$C:$K,4,0),0)+(ABSENSI!D$3:AQ$3="Rabu")*IFERROR(VLOOKUP($C25,DATA_JAM_PELAJARAN!$C:$K,5,0),0)+(ABSENSI!D$3:AQ$3="Kamis")*IFERROR(VLOOKUP($C25,DATA_JAM_PELAJARAN!$C:$K,6,0),0)+(ABSENSI!D$3:AQ$3="Jumat")*IFERROR(VLOOKUP($C25,DATA_JAM_PELAJARAN!$C:$K,7,0),0)+(ABSENSI!D$3:AQ$3="Sabtu")*IFERROR(VLOOKUP($C25,DATA_JAM_PELAJARAN!$C:$K,8,0),0)))</f>
        <v>0</v>
      </c>
      <c r="I25" s="32">
        <f>SUMPRODUCT((ABSENSI!D22:AQ22="Tanpa Keterangan")*((ABSENSI!D$3:AQ$3="Senin")*IFERROR(VLOOKUP($C25,DATA_JAM_PELAJARAN!$C:$K,3,0),0)+(ABSENSI!D$3:AQ$3="Selasa")*IFERROR(VLOOKUP($C25,DATA_JAM_PELAJARAN!$C:$K,4,0),0)+(ABSENSI!D$3:AQ$3="Rabu")*IFERROR(VLOOKUP($C25,DATA_JAM_PELAJARAN!$C:$K,5,0),0)+(ABSENSI!D$3:AQ$3="Kamis")*IFERROR(VLOOKUP($C25,DATA_JAM_PELAJARAN!$C:$K,6,0),0)+(ABSENSI!D$3:AQ$3="Jumat")*IFERROR(VLOOKUP($C25,DATA_JAM_PELAJARAN!$C:$K,7,0),0)+(ABSENSI!D$3:AQ$3="Sabtu")*IFERROR(VLOOKUP($C25,DATA_JAM_PELAJARAN!$C:$K,8,0),0)))</f>
        <v>0</v>
      </c>
      <c r="J25" s="48">
        <f t="shared" si="0"/>
        <v>0</v>
      </c>
      <c r="K25" s="54">
        <f>COUNTIF(ABSENSI!D22:AQ22,"Mengajar")</f>
        <v>16</v>
      </c>
      <c r="L25" s="32">
        <f>COUNTIF(ABSENSI!D22:AQ22,"Sakit")</f>
        <v>0</v>
      </c>
      <c r="M25" s="32">
        <f>COUNTIF(ABSENSI!D22:AQ22,"Izin")</f>
        <v>0</v>
      </c>
      <c r="N25" s="32">
        <f>COUNTIF(ABSENSI!D22:AQ22,"Tanpa Keterangan")</f>
        <v>0</v>
      </c>
      <c r="O25" s="60">
        <f t="shared" si="1"/>
        <v>0.82758620689655171</v>
      </c>
      <c r="P25" s="16">
        <f>SUMPRODUCT((ABSENSI!D$3:AQ$3="Senin")*(IFERROR(VLOOKUP($C25,DATA_JAM_PELAJARAN!$C:$K,3,0),0)&gt;0)+(ABSENSI!D$3:AQ$3="Selasa")*(IFERROR(VLOOKUP($C25,DATA_JAM_PELAJARAN!$C:$K,4,0),0)&gt;0)+(ABSENSI!D$3:AQ$3="Rabu")*(IFERROR(VLOOKUP($C25,DATA_JAM_PELAJARAN!$C:$K,5,0),0)&gt;0)+(ABSENSI!D$3:AQ$3="Kamis")*(IFERROR(VLOOKUP($C25,DATA_JAM_PELAJARAN!$C:$K,6,0),0)&gt;0)+(ABSENSI!D$3:AQ$3="Jumat")*(IFERROR(VLOOKUP($C25,DATA_JAM_PELAJARAN!$C:$K,7,0),0)&gt;0)+(ABSENSI!D$3:AQ$3="Sabtu")*(IFERROR(VLOOKUP($C25,DATA_JAM_PELAJARAN!$C:$K,8,0),0)&gt;0))</f>
        <v>19</v>
      </c>
    </row>
    <row r="26" spans="2:16" ht="18" customHeight="1" x14ac:dyDescent="0.25">
      <c r="B26" s="44">
        <v>20</v>
      </c>
      <c r="C26" s="45" t="s">
        <v>57</v>
      </c>
      <c r="D26" s="46" t="s">
        <v>36</v>
      </c>
      <c r="E26" s="44">
        <f>SUMPRODUCT((ABSENSI!D$3:AQ$3="Senin")*IFERROR(VLOOKUP($C26,DATA_JAM_PELAJARAN!$C:$K,3,0),0)+(ABSENSI!D$3:AQ$3="Selasa")*IFERROR(VLOOKUP($C26,DATA_JAM_PELAJARAN!$C:$K,4,0),0)+(ABSENSI!D$3:AQ$3="Rabu")*IFERROR(VLOOKUP($C26,DATA_JAM_PELAJARAN!$C:$K,5,0),0)+(ABSENSI!D$3:AQ$3="Kamis")*IFERROR(VLOOKUP($C26,DATA_JAM_PELAJARAN!$C:$K,6,0),0)+(ABSENSI!D$3:AQ$3="Jumat")*IFERROR(VLOOKUP($C26,DATA_JAM_PELAJARAN!$C:$K,7,0),0)+(ABSENSI!D$3:AQ$3="Sabtu")*IFERROR(VLOOKUP($C26,DATA_JAM_PELAJARAN!$C:$K,8,0),0))</f>
        <v>81</v>
      </c>
      <c r="F26" s="53">
        <f>SUMPRODUCT((ABSENSI!D23:AQ23="Mengajar")*((ABSENSI!D$3:AQ$3="Senin")*IFERROR(VLOOKUP($C26,DATA_JAM_PELAJARAN!$C:$K,3,0),0)+(ABSENSI!D$3:AQ$3="Selasa")*IFERROR(VLOOKUP($C26,DATA_JAM_PELAJARAN!$C:$K,4,0),0)+(ABSENSI!D$3:AQ$3="Rabu")*IFERROR(VLOOKUP($C26,DATA_JAM_PELAJARAN!$C:$K,5,0),0)+(ABSENSI!D$3:AQ$3="Kamis")*IFERROR(VLOOKUP($C26,DATA_JAM_PELAJARAN!$C:$K,6,0),0)+(ABSENSI!D$3:AQ$3="Jumat")*IFERROR(VLOOKUP($C26,DATA_JAM_PELAJARAN!$C:$K,7,0),0)+(ABSENSI!D$3:AQ$3="Sabtu")*IFERROR(VLOOKUP($C26,DATA_JAM_PELAJARAN!$C:$K,8,0),0)))</f>
        <v>72</v>
      </c>
      <c r="G26" s="34">
        <f>SUMPRODUCT((ABSENSI!D23:AQ23="Sakit")*((ABSENSI!D$3:AQ$3="Senin")*IFERROR(VLOOKUP($C26,DATA_JAM_PELAJARAN!$C:$K,3,0),0)+(ABSENSI!D$3:AQ$3="Selasa")*IFERROR(VLOOKUP($C26,DATA_JAM_PELAJARAN!$C:$K,4,0),0)+(ABSENSI!D$3:AQ$3="Rabu")*IFERROR(VLOOKUP($C26,DATA_JAM_PELAJARAN!$C:$K,5,0),0)+(ABSENSI!D$3:AQ$3="Kamis")*IFERROR(VLOOKUP($C26,DATA_JAM_PELAJARAN!$C:$K,6,0),0)+(ABSENSI!D$3:AQ$3="Jumat")*IFERROR(VLOOKUP($C26,DATA_JAM_PELAJARAN!$C:$K,7,0),0)+(ABSENSI!D$3:AQ$3="Sabtu")*IFERROR(VLOOKUP($C26,DATA_JAM_PELAJARAN!$C:$K,8,0),0)))</f>
        <v>0</v>
      </c>
      <c r="H26" s="34">
        <f>SUMPRODUCT((ABSENSI!D23:AQ23="Izin")*((ABSENSI!D$3:AQ$3="Senin")*IFERROR(VLOOKUP($C26,DATA_JAM_PELAJARAN!$C:$K,3,0),0)+(ABSENSI!D$3:AQ$3="Selasa")*IFERROR(VLOOKUP($C26,DATA_JAM_PELAJARAN!$C:$K,4,0),0)+(ABSENSI!D$3:AQ$3="Rabu")*IFERROR(VLOOKUP($C26,DATA_JAM_PELAJARAN!$C:$K,5,0),0)+(ABSENSI!D$3:AQ$3="Kamis")*IFERROR(VLOOKUP($C26,DATA_JAM_PELAJARAN!$C:$K,6,0),0)+(ABSENSI!D$3:AQ$3="Jumat")*IFERROR(VLOOKUP($C26,DATA_JAM_PELAJARAN!$C:$K,7,0),0)+(ABSENSI!D$3:AQ$3="Sabtu")*IFERROR(VLOOKUP($C26,DATA_JAM_PELAJARAN!$C:$K,8,0),0)))</f>
        <v>0</v>
      </c>
      <c r="I26" s="34">
        <f>SUMPRODUCT((ABSENSI!D23:AQ23="Tanpa Keterangan")*((ABSENSI!D$3:AQ$3="Senin")*IFERROR(VLOOKUP($C26,DATA_JAM_PELAJARAN!$C:$K,3,0),0)+(ABSENSI!D$3:AQ$3="Selasa")*IFERROR(VLOOKUP($C26,DATA_JAM_PELAJARAN!$C:$K,4,0),0)+(ABSENSI!D$3:AQ$3="Rabu")*IFERROR(VLOOKUP($C26,DATA_JAM_PELAJARAN!$C:$K,5,0),0)+(ABSENSI!D$3:AQ$3="Kamis")*IFERROR(VLOOKUP($C26,DATA_JAM_PELAJARAN!$C:$K,6,0),0)+(ABSENSI!D$3:AQ$3="Jumat")*IFERROR(VLOOKUP($C26,DATA_JAM_PELAJARAN!$C:$K,7,0),0)+(ABSENSI!D$3:AQ$3="Sabtu")*IFERROR(VLOOKUP($C26,DATA_JAM_PELAJARAN!$C:$K,8,0),0)))</f>
        <v>0</v>
      </c>
      <c r="J26" s="49">
        <f t="shared" si="0"/>
        <v>0</v>
      </c>
      <c r="K26" s="55">
        <f>COUNTIF(ABSENSI!D23:AQ23,"Mengajar")</f>
        <v>16</v>
      </c>
      <c r="L26" s="34">
        <f>COUNTIF(ABSENSI!D23:AQ23,"Sakit")</f>
        <v>0</v>
      </c>
      <c r="M26" s="34">
        <f>COUNTIF(ABSENSI!D23:AQ23,"Izin")</f>
        <v>0</v>
      </c>
      <c r="N26" s="34">
        <f>COUNTIF(ABSENSI!D23:AQ23,"Tanpa Keterangan")</f>
        <v>0</v>
      </c>
      <c r="O26" s="61">
        <f t="shared" si="1"/>
        <v>0.88888888888888884</v>
      </c>
      <c r="P26" s="16">
        <f>SUMPRODUCT((ABSENSI!D$3:AQ$3="Senin")*(IFERROR(VLOOKUP($C26,DATA_JAM_PELAJARAN!$C:$K,3,0),0)&gt;0)+(ABSENSI!D$3:AQ$3="Selasa")*(IFERROR(VLOOKUP($C26,DATA_JAM_PELAJARAN!$C:$K,4,0),0)&gt;0)+(ABSENSI!D$3:AQ$3="Rabu")*(IFERROR(VLOOKUP($C26,DATA_JAM_PELAJARAN!$C:$K,5,0),0)&gt;0)+(ABSENSI!D$3:AQ$3="Kamis")*(IFERROR(VLOOKUP($C26,DATA_JAM_PELAJARAN!$C:$K,6,0),0)&gt;0)+(ABSENSI!D$3:AQ$3="Jumat")*(IFERROR(VLOOKUP($C26,DATA_JAM_PELAJARAN!$C:$K,7,0),0)&gt;0)+(ABSENSI!D$3:AQ$3="Sabtu")*(IFERROR(VLOOKUP($C26,DATA_JAM_PELAJARAN!$C:$K,8,0),0)&gt;0))</f>
        <v>18</v>
      </c>
    </row>
    <row r="27" spans="2:16" ht="19.5" customHeight="1" x14ac:dyDescent="0.25">
      <c r="B27" s="50"/>
      <c r="C27" s="50" t="s">
        <v>87</v>
      </c>
      <c r="D27" s="50"/>
      <c r="E27" s="50">
        <f t="shared" ref="E27:N27" si="2">SUM(E7:E26)</f>
        <v>1881</v>
      </c>
      <c r="F27" s="50">
        <f t="shared" si="2"/>
        <v>1628</v>
      </c>
      <c r="G27" s="50">
        <f t="shared" si="2"/>
        <v>0</v>
      </c>
      <c r="H27" s="50">
        <f t="shared" si="2"/>
        <v>0</v>
      </c>
      <c r="I27" s="50">
        <f t="shared" si="2"/>
        <v>0</v>
      </c>
      <c r="J27" s="50">
        <f t="shared" si="2"/>
        <v>0</v>
      </c>
      <c r="K27" s="50">
        <f t="shared" si="2"/>
        <v>300</v>
      </c>
      <c r="L27" s="50">
        <f t="shared" si="2"/>
        <v>0</v>
      </c>
      <c r="M27" s="50">
        <f t="shared" si="2"/>
        <v>0</v>
      </c>
      <c r="N27" s="50">
        <f t="shared" si="2"/>
        <v>0</v>
      </c>
      <c r="O27" s="62">
        <f t="shared" si="1"/>
        <v>0.86549707602339176</v>
      </c>
      <c r="P27" s="16">
        <f>SUM(P7:P26)</f>
        <v>345</v>
      </c>
    </row>
    <row r="30" spans="2:16" ht="14.25" customHeight="1" x14ac:dyDescent="0.25">
      <c r="N30" s="51" t="s">
        <v>88</v>
      </c>
    </row>
    <row r="31" spans="2:16" ht="14.25" customHeight="1" x14ac:dyDescent="0.25">
      <c r="N31" s="51" t="s">
        <v>89</v>
      </c>
    </row>
    <row r="35" spans="14:14" ht="14.25" customHeight="1" x14ac:dyDescent="0.25">
      <c r="N35" s="51" t="s">
        <v>6</v>
      </c>
    </row>
    <row r="36" spans="14:14" ht="14.25" customHeight="1" x14ac:dyDescent="0.25">
      <c r="N36" s="51" t="s">
        <v>90</v>
      </c>
    </row>
  </sheetData>
  <mergeCells count="9">
    <mergeCell ref="B1:P1"/>
    <mergeCell ref="E4:J4"/>
    <mergeCell ref="K4:N4"/>
    <mergeCell ref="B4:B5"/>
    <mergeCell ref="B2:P2"/>
    <mergeCell ref="C4:C5"/>
    <mergeCell ref="D4:D5"/>
    <mergeCell ref="O4:O5"/>
    <mergeCell ref="P4:P5"/>
  </mergeCells>
  <conditionalFormatting sqref="O7:O26">
    <cfRule type="expression" dxfId="6" priority="3">
      <formula>AND(ISNUMBER(O7),O7&lt;0.75)</formula>
    </cfRule>
    <cfRule type="expression" dxfId="5" priority="4">
      <formula>AND(ISNUMBER(O7),O7&gt;=0.75,O7&lt;0.9)</formula>
    </cfRule>
    <cfRule type="expression" dxfId="4" priority="5">
      <formula>AND(ISNUMBER(O7),O7&gt;=0.9)</formula>
    </cfRule>
  </conditionalFormatting>
  <conditionalFormatting sqref="F7:N26">
    <cfRule type="cellIs" dxfId="3" priority="1" operator="equal">
      <formula>0</formula>
    </cfRule>
  </conditionalFormatting>
  <printOptions horizontalCentered="1"/>
  <pageMargins left="0.74803149606299213" right="0.74803149606299213" top="0.98425196850393704" bottom="0.98425196850393704" header="0.51181102362204722" footer="0.51181102362204722"/>
  <pageSetup paperSize="10000" scale="71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36"/>
  <sheetViews>
    <sheetView showGridLines="0" topLeftCell="A14" zoomScaleNormal="100" workbookViewId="0">
      <selection activeCell="F34" sqref="F34"/>
    </sheetView>
  </sheetViews>
  <sheetFormatPr defaultColWidth="8.7109375" defaultRowHeight="15" x14ac:dyDescent="0.25"/>
  <cols>
    <col min="1" max="1" width="2" customWidth="1"/>
    <col min="2" max="2" width="5" customWidth="1"/>
    <col min="3" max="3" width="30" customWidth="1"/>
    <col min="4" max="4" width="18" customWidth="1"/>
    <col min="5" max="8" width="12" customWidth="1"/>
    <col min="9" max="9" width="14" customWidth="1"/>
    <col min="10" max="10" width="8.7109375" customWidth="1"/>
  </cols>
  <sheetData>
    <row r="1" spans="2:10" ht="36" customHeight="1" x14ac:dyDescent="0.25">
      <c r="B1" s="96" t="s">
        <v>91</v>
      </c>
      <c r="C1" s="71"/>
      <c r="D1" s="71"/>
      <c r="E1" s="71"/>
      <c r="F1" s="71"/>
      <c r="G1" s="71"/>
      <c r="H1" s="71"/>
      <c r="I1" s="71"/>
    </row>
    <row r="2" spans="2:10" ht="21.75" customHeight="1" x14ac:dyDescent="0.25">
      <c r="B2" s="94" t="str">
        <f>"Periode: "&amp;TEXT(CONFIG!C4,"DD MMMM YYYY")&amp;"  s.d.  "&amp;TEXT(CONFIG!C5,"DD MMMM YYYY")</f>
        <v>Periode: 25 March 2026  s.d.  24 April 2026</v>
      </c>
      <c r="C2" s="71"/>
      <c r="D2" s="71"/>
      <c r="E2" s="71"/>
      <c r="F2" s="71"/>
      <c r="G2" s="71"/>
      <c r="H2" s="71"/>
      <c r="I2" s="71"/>
    </row>
    <row r="4" spans="2:10" ht="21.75" customHeight="1" x14ac:dyDescent="0.25">
      <c r="B4" s="94" t="s">
        <v>92</v>
      </c>
      <c r="C4" s="71"/>
      <c r="D4" s="71"/>
      <c r="E4" s="71"/>
      <c r="F4" s="71"/>
      <c r="G4" s="71"/>
      <c r="H4" s="71"/>
      <c r="I4" s="71"/>
    </row>
    <row r="5" spans="2:10" ht="19.5" customHeight="1" x14ac:dyDescent="0.25">
      <c r="B5" s="3" t="s">
        <v>93</v>
      </c>
      <c r="C5" s="3" t="s">
        <v>23</v>
      </c>
      <c r="D5" s="3" t="s">
        <v>24</v>
      </c>
      <c r="E5" s="3" t="s">
        <v>77</v>
      </c>
      <c r="F5" s="3" t="s">
        <v>78</v>
      </c>
      <c r="G5" s="3" t="s">
        <v>94</v>
      </c>
      <c r="H5" s="3" t="s">
        <v>83</v>
      </c>
      <c r="I5" s="3" t="s">
        <v>76</v>
      </c>
      <c r="J5" s="3" t="s">
        <v>95</v>
      </c>
    </row>
    <row r="6" spans="2:10" ht="18" customHeight="1" x14ac:dyDescent="0.25">
      <c r="B6" s="12">
        <v>1</v>
      </c>
      <c r="C6" s="5" t="str">
        <f>REKAP_BULANAN!C7</f>
        <v>Dewi Andriani, S.Pd</v>
      </c>
      <c r="D6" s="6" t="str">
        <f>REKAP_BULANAN!D7</f>
        <v>Matematika</v>
      </c>
      <c r="E6" s="4">
        <f>REKAP_BULANAN!E7</f>
        <v>46</v>
      </c>
      <c r="F6" s="10">
        <f>REKAP_BULANAN!F7</f>
        <v>40</v>
      </c>
      <c r="G6" s="13">
        <f>REKAP_BULANAN!J7</f>
        <v>0</v>
      </c>
      <c r="H6" s="1">
        <f>REKAP_BULANAN!K7</f>
        <v>8</v>
      </c>
      <c r="I6" s="13">
        <f>REKAP_BULANAN!P7</f>
        <v>9</v>
      </c>
      <c r="J6" s="63">
        <f>IFERROR(REKAP_BULANAN!O7,0)</f>
        <v>0.86956521739130432</v>
      </c>
    </row>
    <row r="7" spans="2:10" ht="18" customHeight="1" x14ac:dyDescent="0.25">
      <c r="B7" s="14">
        <v>2</v>
      </c>
      <c r="C7" s="8" t="str">
        <f>REKAP_BULANAN!C8</f>
        <v>Wiwin Nitasari, S.Pd</v>
      </c>
      <c r="D7" s="9" t="str">
        <f>REKAP_BULANAN!D8</f>
        <v>PKN</v>
      </c>
      <c r="E7" s="7">
        <f>REKAP_BULANAN!E8</f>
        <v>147</v>
      </c>
      <c r="F7" s="11">
        <f>REKAP_BULANAN!F8</f>
        <v>132</v>
      </c>
      <c r="G7" s="15">
        <f>REKAP_BULANAN!J8</f>
        <v>0</v>
      </c>
      <c r="H7" s="2">
        <f>REKAP_BULANAN!K8</f>
        <v>16</v>
      </c>
      <c r="I7" s="15">
        <f>REKAP_BULANAN!P8</f>
        <v>18</v>
      </c>
      <c r="J7" s="64">
        <f>IFERROR(REKAP_BULANAN!O8,0)</f>
        <v>0.89795918367346939</v>
      </c>
    </row>
    <row r="8" spans="2:10" ht="18" customHeight="1" x14ac:dyDescent="0.25">
      <c r="B8" s="12">
        <v>3</v>
      </c>
      <c r="C8" s="5" t="str">
        <f>REKAP_BULANAN!C9</f>
        <v>Indra Kurniawan, A.Md</v>
      </c>
      <c r="D8" s="6" t="str">
        <f>REKAP_BULANAN!D9</f>
        <v>Prakarya - TIK</v>
      </c>
      <c r="E8" s="4">
        <f>REKAP_BULANAN!E9</f>
        <v>60</v>
      </c>
      <c r="F8" s="10">
        <f>REKAP_BULANAN!F9</f>
        <v>56</v>
      </c>
      <c r="G8" s="13">
        <f>REKAP_BULANAN!J9</f>
        <v>0</v>
      </c>
      <c r="H8" s="1">
        <f>REKAP_BULANAN!K9</f>
        <v>12</v>
      </c>
      <c r="I8" s="13">
        <f>REKAP_BULANAN!P9</f>
        <v>13</v>
      </c>
      <c r="J8" s="63">
        <f>IFERROR(REKAP_BULANAN!O9,0)</f>
        <v>0.93333333333333335</v>
      </c>
    </row>
    <row r="9" spans="2:10" ht="18" customHeight="1" x14ac:dyDescent="0.25">
      <c r="B9" s="14">
        <v>4</v>
      </c>
      <c r="C9" s="8" t="str">
        <f>REKAP_BULANAN!C10</f>
        <v>Siti Satriah, S.Pd</v>
      </c>
      <c r="D9" s="9" t="str">
        <f>REKAP_BULANAN!D10</f>
        <v>B. Inggris</v>
      </c>
      <c r="E9" s="7">
        <f>REKAP_BULANAN!E10</f>
        <v>72</v>
      </c>
      <c r="F9" s="11">
        <f>REKAP_BULANAN!F10</f>
        <v>64</v>
      </c>
      <c r="G9" s="15">
        <f>REKAP_BULANAN!J10</f>
        <v>0</v>
      </c>
      <c r="H9" s="2">
        <f>REKAP_BULANAN!K10</f>
        <v>12</v>
      </c>
      <c r="I9" s="15">
        <f>REKAP_BULANAN!P10</f>
        <v>13</v>
      </c>
      <c r="J9" s="64">
        <f>IFERROR(REKAP_BULANAN!O10,0)</f>
        <v>0.88888888888888884</v>
      </c>
    </row>
    <row r="10" spans="2:10" ht="18" customHeight="1" x14ac:dyDescent="0.25">
      <c r="B10" s="12">
        <v>5</v>
      </c>
      <c r="C10" s="5" t="str">
        <f>REKAP_BULANAN!C11</f>
        <v>Klidia Nurwulan, S.Pd</v>
      </c>
      <c r="D10" s="6" t="str">
        <f>REKAP_BULANAN!D11</f>
        <v>B. Indonesia</v>
      </c>
      <c r="E10" s="4">
        <f>REKAP_BULANAN!E11</f>
        <v>136</v>
      </c>
      <c r="F10" s="10">
        <f>REKAP_BULANAN!F11</f>
        <v>120</v>
      </c>
      <c r="G10" s="13">
        <f>REKAP_BULANAN!J11</f>
        <v>0</v>
      </c>
      <c r="H10" s="1">
        <f>REKAP_BULANAN!K11</f>
        <v>16</v>
      </c>
      <c r="I10" s="13">
        <f>REKAP_BULANAN!P11</f>
        <v>18</v>
      </c>
      <c r="J10" s="63">
        <f>IFERROR(REKAP_BULANAN!O11,0)</f>
        <v>0.88235294117647056</v>
      </c>
    </row>
    <row r="11" spans="2:10" ht="18" customHeight="1" x14ac:dyDescent="0.25">
      <c r="B11" s="14">
        <v>6</v>
      </c>
      <c r="C11" s="8" t="str">
        <f>REKAP_BULANAN!C12</f>
        <v>Putri Megawati, S.Pd</v>
      </c>
      <c r="D11" s="9" t="str">
        <f>REKAP_BULANAN!D12</f>
        <v>PJOK</v>
      </c>
      <c r="E11" s="7">
        <f>REKAP_BULANAN!E12</f>
        <v>69</v>
      </c>
      <c r="F11" s="11">
        <f>REKAP_BULANAN!F12</f>
        <v>60</v>
      </c>
      <c r="G11" s="15">
        <f>REKAP_BULANAN!J12</f>
        <v>0</v>
      </c>
      <c r="H11" s="2">
        <f>REKAP_BULANAN!K12</f>
        <v>12</v>
      </c>
      <c r="I11" s="15">
        <f>REKAP_BULANAN!P12</f>
        <v>14</v>
      </c>
      <c r="J11" s="64">
        <f>IFERROR(REKAP_BULANAN!O12,0)</f>
        <v>0.86956521739130432</v>
      </c>
    </row>
    <row r="12" spans="2:10" ht="18" customHeight="1" x14ac:dyDescent="0.25">
      <c r="B12" s="12">
        <v>7</v>
      </c>
      <c r="C12" s="5" t="str">
        <f>REKAP_BULANAN!C13</f>
        <v>Dani Ramdhani, S.Pd</v>
      </c>
      <c r="D12" s="6" t="str">
        <f>REKAP_BULANAN!D13</f>
        <v>B. Inggris</v>
      </c>
      <c r="E12" s="4">
        <f>REKAP_BULANAN!E13</f>
        <v>56</v>
      </c>
      <c r="F12" s="10">
        <f>REKAP_BULANAN!F13</f>
        <v>48</v>
      </c>
      <c r="G12" s="13">
        <f>REKAP_BULANAN!J13</f>
        <v>0</v>
      </c>
      <c r="H12" s="1">
        <f>REKAP_BULANAN!K13</f>
        <v>12</v>
      </c>
      <c r="I12" s="13">
        <f>REKAP_BULANAN!P13</f>
        <v>14</v>
      </c>
      <c r="J12" s="63">
        <f>IFERROR(REKAP_BULANAN!O13,0)</f>
        <v>0.8571428571428571</v>
      </c>
    </row>
    <row r="13" spans="2:10" ht="18" customHeight="1" x14ac:dyDescent="0.25">
      <c r="B13" s="14">
        <v>8</v>
      </c>
      <c r="C13" s="8" t="str">
        <f>REKAP_BULANAN!C14</f>
        <v>Shafa Padilah S. S.Pd</v>
      </c>
      <c r="D13" s="9" t="str">
        <f>REKAP_BULANAN!D14</f>
        <v>B. Indonesia</v>
      </c>
      <c r="E13" s="7">
        <f>REKAP_BULANAN!E14</f>
        <v>111</v>
      </c>
      <c r="F13" s="11">
        <f>REKAP_BULANAN!F14</f>
        <v>100</v>
      </c>
      <c r="G13" s="15">
        <f>REKAP_BULANAN!J14</f>
        <v>0</v>
      </c>
      <c r="H13" s="2">
        <f>REKAP_BULANAN!K14</f>
        <v>16</v>
      </c>
      <c r="I13" s="15">
        <f>REKAP_BULANAN!P14</f>
        <v>18</v>
      </c>
      <c r="J13" s="64">
        <f>IFERROR(REKAP_BULANAN!O14,0)</f>
        <v>0.90090090090090091</v>
      </c>
    </row>
    <row r="14" spans="2:10" ht="18" customHeight="1" x14ac:dyDescent="0.25">
      <c r="B14" s="12">
        <v>9</v>
      </c>
      <c r="C14" s="5" t="str">
        <f>REKAP_BULANAN!C15</f>
        <v>Imam Hasbulloh, S.Pd</v>
      </c>
      <c r="D14" s="6" t="str">
        <f>REKAP_BULANAN!D15</f>
        <v>Matematika</v>
      </c>
      <c r="E14" s="4">
        <f>REKAP_BULANAN!E15</f>
        <v>161</v>
      </c>
      <c r="F14" s="10">
        <f>REKAP_BULANAN!F15</f>
        <v>140</v>
      </c>
      <c r="G14" s="13">
        <f>REKAP_BULANAN!J15</f>
        <v>0</v>
      </c>
      <c r="H14" s="1">
        <f>REKAP_BULANAN!K15</f>
        <v>20</v>
      </c>
      <c r="I14" s="13">
        <f>REKAP_BULANAN!P15</f>
        <v>23</v>
      </c>
      <c r="J14" s="63">
        <f>IFERROR(REKAP_BULANAN!O15,0)</f>
        <v>0.86956521739130432</v>
      </c>
    </row>
    <row r="15" spans="2:10" ht="18" customHeight="1" x14ac:dyDescent="0.25">
      <c r="B15" s="14">
        <v>10</v>
      </c>
      <c r="C15" s="8" t="str">
        <f>REKAP_BULANAN!C16</f>
        <v>Muhamad Aldiansyah</v>
      </c>
      <c r="D15" s="9" t="str">
        <f>REKAP_BULANAN!D16</f>
        <v>B. Inggris</v>
      </c>
      <c r="E15" s="7">
        <f>REKAP_BULANAN!E16</f>
        <v>74</v>
      </c>
      <c r="F15" s="11">
        <f>REKAP_BULANAN!F16</f>
        <v>64</v>
      </c>
      <c r="G15" s="15">
        <f>REKAP_BULANAN!J16</f>
        <v>0</v>
      </c>
      <c r="H15" s="2">
        <f>REKAP_BULANAN!K16</f>
        <v>16</v>
      </c>
      <c r="I15" s="15">
        <f>REKAP_BULANAN!P16</f>
        <v>18</v>
      </c>
      <c r="J15" s="64">
        <f>IFERROR(REKAP_BULANAN!O16,0)</f>
        <v>0.86486486486486491</v>
      </c>
    </row>
    <row r="16" spans="2:10" ht="18" customHeight="1" x14ac:dyDescent="0.25">
      <c r="B16" s="12">
        <v>11</v>
      </c>
      <c r="C16" s="5" t="str">
        <f>REKAP_BULANAN!C17</f>
        <v>M. Fadilah Abdurahman</v>
      </c>
      <c r="D16" s="6" t="str">
        <f>REKAP_BULANAN!D17</f>
        <v>Seni Budaya</v>
      </c>
      <c r="E16" s="4">
        <f>REKAP_BULANAN!E17</f>
        <v>77</v>
      </c>
      <c r="F16" s="10">
        <f>REKAP_BULANAN!F17</f>
        <v>64</v>
      </c>
      <c r="G16" s="13">
        <f>REKAP_BULANAN!J17</f>
        <v>0</v>
      </c>
      <c r="H16" s="1">
        <f>REKAP_BULANAN!K17</f>
        <v>16</v>
      </c>
      <c r="I16" s="13">
        <f>REKAP_BULANAN!P17</f>
        <v>19</v>
      </c>
      <c r="J16" s="63">
        <f>IFERROR(REKAP_BULANAN!O17,0)</f>
        <v>0.83116883116883122</v>
      </c>
    </row>
    <row r="17" spans="2:10" ht="18" customHeight="1" x14ac:dyDescent="0.25">
      <c r="B17" s="14">
        <v>12</v>
      </c>
      <c r="C17" s="8" t="str">
        <f>REKAP_BULANAN!C18</f>
        <v>Ahmad Yusup</v>
      </c>
      <c r="D17" s="9" t="str">
        <f>REKAP_BULANAN!D18</f>
        <v>TIK</v>
      </c>
      <c r="E17" s="7">
        <f>REKAP_BULANAN!E18</f>
        <v>66</v>
      </c>
      <c r="F17" s="11">
        <f>REKAP_BULANAN!F18</f>
        <v>56</v>
      </c>
      <c r="G17" s="15">
        <f>REKAP_BULANAN!J18</f>
        <v>0</v>
      </c>
      <c r="H17" s="2">
        <f>REKAP_BULANAN!K18</f>
        <v>16</v>
      </c>
      <c r="I17" s="15">
        <f>REKAP_BULANAN!P18</f>
        <v>19</v>
      </c>
      <c r="J17" s="64">
        <f>IFERROR(REKAP_BULANAN!O18,0)</f>
        <v>0.84848484848484851</v>
      </c>
    </row>
    <row r="18" spans="2:10" ht="18" customHeight="1" x14ac:dyDescent="0.25">
      <c r="B18" s="12">
        <v>13</v>
      </c>
      <c r="C18" s="5" t="str">
        <f>REKAP_BULANAN!C19</f>
        <v>Ai Rabiah Nur Syabani, S.Hum., S.Pd</v>
      </c>
      <c r="D18" s="6" t="str">
        <f>REKAP_BULANAN!D19</f>
        <v>PAI</v>
      </c>
      <c r="E18" s="4">
        <f>REKAP_BULANAN!E19</f>
        <v>72</v>
      </c>
      <c r="F18" s="10">
        <f>REKAP_BULANAN!F19</f>
        <v>60</v>
      </c>
      <c r="G18" s="13">
        <f>REKAP_BULANAN!J19</f>
        <v>0</v>
      </c>
      <c r="H18" s="1">
        <f>REKAP_BULANAN!K19</f>
        <v>16</v>
      </c>
      <c r="I18" s="13">
        <f>REKAP_BULANAN!P19</f>
        <v>19</v>
      </c>
      <c r="J18" s="63">
        <f>IFERROR(REKAP_BULANAN!O19,0)</f>
        <v>0.83333333333333337</v>
      </c>
    </row>
    <row r="19" spans="2:10" ht="18" customHeight="1" x14ac:dyDescent="0.25">
      <c r="B19" s="14">
        <v>14</v>
      </c>
      <c r="C19" s="8" t="str">
        <f>REKAP_BULANAN!C20</f>
        <v>Deni Sastra Dinata, S.H</v>
      </c>
      <c r="D19" s="9" t="str">
        <f>REKAP_BULANAN!D20</f>
        <v>IPS</v>
      </c>
      <c r="E19" s="7">
        <f>REKAP_BULANAN!E20</f>
        <v>113</v>
      </c>
      <c r="F19" s="11">
        <f>REKAP_BULANAN!F20</f>
        <v>96</v>
      </c>
      <c r="G19" s="15">
        <f>REKAP_BULANAN!J20</f>
        <v>0</v>
      </c>
      <c r="H19" s="2">
        <f>REKAP_BULANAN!K20</f>
        <v>20</v>
      </c>
      <c r="I19" s="15">
        <f>REKAP_BULANAN!P20</f>
        <v>23</v>
      </c>
      <c r="J19" s="64">
        <f>IFERROR(REKAP_BULANAN!O20,0)</f>
        <v>0.84955752212389379</v>
      </c>
    </row>
    <row r="20" spans="2:10" ht="18" customHeight="1" x14ac:dyDescent="0.25">
      <c r="B20" s="12">
        <v>15</v>
      </c>
      <c r="C20" s="5" t="str">
        <f>REKAP_BULANAN!C21</f>
        <v>Tasya Salsabila, S.Pd</v>
      </c>
      <c r="D20" s="6" t="str">
        <f>REKAP_BULANAN!D21</f>
        <v>IPA - MTK</v>
      </c>
      <c r="E20" s="4">
        <f>REKAP_BULANAN!E21</f>
        <v>136</v>
      </c>
      <c r="F20" s="10">
        <f>REKAP_BULANAN!F21</f>
        <v>120</v>
      </c>
      <c r="G20" s="13">
        <f>REKAP_BULANAN!J21</f>
        <v>0</v>
      </c>
      <c r="H20" s="1">
        <f>REKAP_BULANAN!K21</f>
        <v>16</v>
      </c>
      <c r="I20" s="13">
        <f>REKAP_BULANAN!P21</f>
        <v>18</v>
      </c>
      <c r="J20" s="63">
        <f>IFERROR(REKAP_BULANAN!O21,0)</f>
        <v>0.88235294117647056</v>
      </c>
    </row>
    <row r="21" spans="2:10" ht="18" customHeight="1" x14ac:dyDescent="0.25">
      <c r="B21" s="14">
        <v>16</v>
      </c>
      <c r="C21" s="8" t="str">
        <f>REKAP_BULANAN!C22</f>
        <v>Nana Fauziah, S.Pd</v>
      </c>
      <c r="D21" s="9" t="str">
        <f>REKAP_BULANAN!D22</f>
        <v>PAI</v>
      </c>
      <c r="E21" s="7">
        <f>REKAP_BULANAN!E22</f>
        <v>88</v>
      </c>
      <c r="F21" s="11">
        <f>REKAP_BULANAN!F22</f>
        <v>72</v>
      </c>
      <c r="G21" s="15">
        <f>REKAP_BULANAN!J22</f>
        <v>0</v>
      </c>
      <c r="H21" s="2">
        <f>REKAP_BULANAN!K22</f>
        <v>12</v>
      </c>
      <c r="I21" s="15">
        <f>REKAP_BULANAN!P22</f>
        <v>14</v>
      </c>
      <c r="J21" s="64">
        <f>IFERROR(REKAP_BULANAN!O22,0)</f>
        <v>0.81818181818181823</v>
      </c>
    </row>
    <row r="22" spans="2:10" ht="18" customHeight="1" x14ac:dyDescent="0.25">
      <c r="B22" s="12">
        <v>17</v>
      </c>
      <c r="C22" s="5" t="str">
        <f>REKAP_BULANAN!C23</f>
        <v>Ajeng Putri Rahayu, S.Pd</v>
      </c>
      <c r="D22" s="6" t="str">
        <f>REKAP_BULANAN!D23</f>
        <v>B. Sunda</v>
      </c>
      <c r="E22" s="4">
        <f>REKAP_BULANAN!E23</f>
        <v>106</v>
      </c>
      <c r="F22" s="10">
        <f>REKAP_BULANAN!F23</f>
        <v>88</v>
      </c>
      <c r="G22" s="13">
        <f>REKAP_BULANAN!J23</f>
        <v>0</v>
      </c>
      <c r="H22" s="1">
        <f>REKAP_BULANAN!K23</f>
        <v>16</v>
      </c>
      <c r="I22" s="13">
        <f>REKAP_BULANAN!P23</f>
        <v>19</v>
      </c>
      <c r="J22" s="63">
        <f>IFERROR(REKAP_BULANAN!O23,0)</f>
        <v>0.83018867924528306</v>
      </c>
    </row>
    <row r="23" spans="2:10" ht="18" customHeight="1" x14ac:dyDescent="0.25">
      <c r="B23" s="14">
        <v>18</v>
      </c>
      <c r="C23" s="8" t="str">
        <f>REKAP_BULANAN!C24</f>
        <v>Febri Nugraha, S.Hum</v>
      </c>
      <c r="D23" s="9" t="str">
        <f>REKAP_BULANAN!D24</f>
        <v>IPS</v>
      </c>
      <c r="E23" s="7">
        <f>REKAP_BULANAN!E24</f>
        <v>94</v>
      </c>
      <c r="F23" s="11">
        <f>REKAP_BULANAN!F24</f>
        <v>80</v>
      </c>
      <c r="G23" s="15">
        <f>REKAP_BULANAN!J24</f>
        <v>0</v>
      </c>
      <c r="H23" s="2">
        <f>REKAP_BULANAN!K24</f>
        <v>16</v>
      </c>
      <c r="I23" s="15">
        <f>REKAP_BULANAN!P24</f>
        <v>19</v>
      </c>
      <c r="J23" s="64">
        <f>IFERROR(REKAP_BULANAN!O24,0)</f>
        <v>0.85106382978723405</v>
      </c>
    </row>
    <row r="24" spans="2:10" ht="18" customHeight="1" x14ac:dyDescent="0.25">
      <c r="B24" s="12">
        <v>19</v>
      </c>
      <c r="C24" s="5" t="str">
        <f>REKAP_BULANAN!C25</f>
        <v>Dadang Try Subekti, S.Pd</v>
      </c>
      <c r="D24" s="6" t="str">
        <f>REKAP_BULANAN!D25</f>
        <v>IPA</v>
      </c>
      <c r="E24" s="4">
        <f>REKAP_BULANAN!E25</f>
        <v>116</v>
      </c>
      <c r="F24" s="10">
        <f>REKAP_BULANAN!F25</f>
        <v>96</v>
      </c>
      <c r="G24" s="13">
        <f>REKAP_BULANAN!J25</f>
        <v>0</v>
      </c>
      <c r="H24" s="1">
        <f>REKAP_BULANAN!K25</f>
        <v>16</v>
      </c>
      <c r="I24" s="13">
        <f>REKAP_BULANAN!P25</f>
        <v>19</v>
      </c>
      <c r="J24" s="63">
        <f>IFERROR(REKAP_BULANAN!O25,0)</f>
        <v>0.82758620689655171</v>
      </c>
    </row>
    <row r="25" spans="2:10" ht="18" customHeight="1" x14ac:dyDescent="0.25">
      <c r="B25" s="14">
        <v>20</v>
      </c>
      <c r="C25" s="8" t="str">
        <f>REKAP_BULANAN!C26</f>
        <v>Abdullah Nurrachman Soleh, S.Pd</v>
      </c>
      <c r="D25" s="9" t="str">
        <f>REKAP_BULANAN!D26</f>
        <v>PJOK</v>
      </c>
      <c r="E25" s="7">
        <f>REKAP_BULANAN!E26</f>
        <v>81</v>
      </c>
      <c r="F25" s="11">
        <f>REKAP_BULANAN!F26</f>
        <v>72</v>
      </c>
      <c r="G25" s="15">
        <f>REKAP_BULANAN!J26</f>
        <v>0</v>
      </c>
      <c r="H25" s="2">
        <f>REKAP_BULANAN!K26</f>
        <v>16</v>
      </c>
      <c r="I25" s="15">
        <f>REKAP_BULANAN!P26</f>
        <v>18</v>
      </c>
      <c r="J25" s="64">
        <f>IFERROR(REKAP_BULANAN!O26,0)</f>
        <v>0.88888888888888884</v>
      </c>
    </row>
    <row r="28" spans="2:10" ht="21.75" customHeight="1" x14ac:dyDescent="0.25">
      <c r="B28" s="94" t="s">
        <v>96</v>
      </c>
      <c r="C28" s="71"/>
      <c r="D28" s="71"/>
      <c r="E28" s="71"/>
      <c r="F28" s="71"/>
      <c r="G28" s="71"/>
      <c r="H28" s="71"/>
      <c r="I28" s="71"/>
    </row>
    <row r="29" spans="2:10" ht="19.5" customHeight="1" x14ac:dyDescent="0.25">
      <c r="B29" s="93" t="s">
        <v>97</v>
      </c>
      <c r="C29" s="71"/>
      <c r="D29" s="71"/>
      <c r="E29" s="66"/>
      <c r="F29" s="92">
        <f>COUNTA(REKAP_BULANAN!C7:C26)</f>
        <v>20</v>
      </c>
      <c r="G29" s="71"/>
      <c r="H29" s="71"/>
      <c r="I29" s="66"/>
    </row>
    <row r="30" spans="2:10" ht="19.5" customHeight="1" x14ac:dyDescent="0.25">
      <c r="B30" s="93" t="s">
        <v>98</v>
      </c>
      <c r="C30" s="71"/>
      <c r="D30" s="71"/>
      <c r="E30" s="66"/>
      <c r="F30" s="95">
        <f>SUM(REKAP_BULANAN!E7:E26)</f>
        <v>1881</v>
      </c>
      <c r="G30" s="71"/>
      <c r="H30" s="71"/>
      <c r="I30" s="66"/>
    </row>
    <row r="31" spans="2:10" ht="19.5" customHeight="1" x14ac:dyDescent="0.25">
      <c r="B31" s="93" t="s">
        <v>99</v>
      </c>
      <c r="C31" s="71"/>
      <c r="D31" s="71"/>
      <c r="E31" s="66"/>
      <c r="F31" s="92">
        <f>SUM(REKAP_BULANAN!F7:F26)</f>
        <v>1628</v>
      </c>
      <c r="G31" s="71"/>
      <c r="H31" s="71"/>
      <c r="I31" s="66"/>
    </row>
    <row r="32" spans="2:10" ht="19.5" customHeight="1" x14ac:dyDescent="0.25">
      <c r="B32" s="93" t="s">
        <v>100</v>
      </c>
      <c r="C32" s="71"/>
      <c r="D32" s="71"/>
      <c r="E32" s="66"/>
      <c r="F32" s="95">
        <f>SUM(REKAP_BULANAN!J7:J26)</f>
        <v>0</v>
      </c>
      <c r="G32" s="71"/>
      <c r="H32" s="71"/>
      <c r="I32" s="66"/>
    </row>
    <row r="33" spans="2:9" ht="19.5" customHeight="1" x14ac:dyDescent="0.25">
      <c r="B33" s="93" t="s">
        <v>101</v>
      </c>
      <c r="C33" s="71"/>
      <c r="D33" s="71"/>
      <c r="E33" s="66"/>
      <c r="F33" s="97">
        <f>IFERROR(SUM(REKAP_BULANAN!F7:F26)/SUM(REKAP_BULANAN!E7:E26),0)</f>
        <v>0.86549707602339176</v>
      </c>
      <c r="G33" s="71"/>
      <c r="H33" s="71"/>
      <c r="I33" s="66"/>
    </row>
    <row r="34" spans="2:9" ht="19.5" customHeight="1" x14ac:dyDescent="0.25">
      <c r="B34" s="93" t="s">
        <v>102</v>
      </c>
      <c r="C34" s="71"/>
      <c r="D34" s="71"/>
      <c r="E34" s="66"/>
      <c r="F34" s="95">
        <f>COUNTIF(J6:J25,"&gt;=0.9")</f>
        <v>0</v>
      </c>
      <c r="G34" s="71"/>
      <c r="H34" s="71"/>
      <c r="I34" s="66"/>
    </row>
    <row r="35" spans="2:9" ht="19.5" customHeight="1" x14ac:dyDescent="0.25">
      <c r="B35" s="93" t="s">
        <v>103</v>
      </c>
      <c r="C35" s="71"/>
      <c r="D35" s="71"/>
      <c r="E35" s="66"/>
      <c r="F35" s="92">
        <f>COUNTIFS(J6:J25,"&gt;=0.75",J6:J25,"&lt;0.9")</f>
        <v>0</v>
      </c>
      <c r="G35" s="71"/>
      <c r="H35" s="71"/>
      <c r="I35" s="66"/>
    </row>
    <row r="36" spans="2:9" ht="19.5" customHeight="1" x14ac:dyDescent="0.25">
      <c r="B36" s="93" t="s">
        <v>104</v>
      </c>
      <c r="C36" s="71"/>
      <c r="D36" s="71"/>
      <c r="E36" s="66"/>
      <c r="F36" s="95">
        <f>COUNTIF(J6:J25,"&lt;0.75")</f>
        <v>0</v>
      </c>
      <c r="G36" s="71"/>
      <c r="H36" s="71"/>
      <c r="I36" s="66"/>
    </row>
  </sheetData>
  <mergeCells count="20">
    <mergeCell ref="B2:I2"/>
    <mergeCell ref="F29:I29"/>
    <mergeCell ref="F34:I34"/>
    <mergeCell ref="B1:I1"/>
    <mergeCell ref="B31:E31"/>
    <mergeCell ref="F30:I30"/>
    <mergeCell ref="B28:I28"/>
    <mergeCell ref="F33:I33"/>
    <mergeCell ref="F32:I32"/>
    <mergeCell ref="B29:E29"/>
    <mergeCell ref="B34:E34"/>
    <mergeCell ref="B4:I4"/>
    <mergeCell ref="F31:I31"/>
    <mergeCell ref="B30:E30"/>
    <mergeCell ref="B33:E33"/>
    <mergeCell ref="B36:E36"/>
    <mergeCell ref="B32:E32"/>
    <mergeCell ref="B35:E35"/>
    <mergeCell ref="F36:I36"/>
    <mergeCell ref="F35:I35"/>
  </mergeCells>
  <conditionalFormatting sqref="J6:J25">
    <cfRule type="cellIs" dxfId="2" priority="2" operator="lessThan">
      <formula>0.75</formula>
    </cfRule>
    <cfRule type="cellIs" dxfId="1" priority="3" operator="between">
      <formula>0.75</formula>
      <formula>0.9</formula>
    </cfRule>
    <cfRule type="cellIs" dxfId="0" priority="4" operator="greaterThanOrEqual">
      <formula>0.9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CONFIG</vt:lpstr>
      <vt:lpstr>DATA_GURU</vt:lpstr>
      <vt:lpstr>DATA_JAM_PELAJARAN</vt:lpstr>
      <vt:lpstr>ABSENSI</vt:lpstr>
      <vt:lpstr>REKAP_BULANAN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cp:lastPrinted>2026-04-10T10:09:45Z</cp:lastPrinted>
  <dcterms:created xsi:type="dcterms:W3CDTF">2026-04-05T13:25:16Z</dcterms:created>
  <dcterms:modified xsi:type="dcterms:W3CDTF">2026-04-13T05:12:43Z</dcterms:modified>
  <dc:language>en-US</dc:language>
</cp:coreProperties>
</file>